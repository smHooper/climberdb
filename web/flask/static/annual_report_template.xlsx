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apps\climberdb\git\web\flask\static\"/>
    </mc:Choice>
  </mc:AlternateContent>
  <xr:revisionPtr revIDLastSave="0" documentId="13_ncr:1_{0A899115-AB0F-403D-9E2A-1E6683002862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2025" sheetId="8" r:id="rId1"/>
    <sheet name="2024" sheetId="7" r:id="rId2"/>
    <sheet name="2023" sheetId="6" r:id="rId3"/>
    <sheet name="2022" sheetId="5" r:id="rId4"/>
    <sheet name="2021" sheetId="4" r:id="rId5"/>
    <sheet name="2019" sheetId="1" r:id="rId6"/>
    <sheet name="2018" sheetId="2" r:id="rId7"/>
    <sheet name="2017" sheetId="3" r:id="rId8"/>
  </sheets>
  <definedNames>
    <definedName name="_xlnm.Print_Area" localSheetId="5">'2019'!$A$1:$F$90</definedName>
    <definedName name="_xlnm.Print_Area" localSheetId="4">'2021'!$A$1:$F$96</definedName>
    <definedName name="_xlnm.Print_Area" localSheetId="3">'2022'!$A$1:$F$92</definedName>
    <definedName name="_xlnm.Print_Area" localSheetId="2">'2023'!$A$1:$F$94</definedName>
    <definedName name="_xlnm.Print_Area" localSheetId="1">'2024'!$A$80:$J$102</definedName>
    <definedName name="_xlnm.Print_Area" localSheetId="0">'2025'!$A$45:$J$58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8" i="7" l="1"/>
  <c r="E7" i="7"/>
  <c r="E6" i="7"/>
  <c r="E5" i="7"/>
  <c r="D93" i="7"/>
  <c r="D92" i="7"/>
  <c r="D91" i="7"/>
  <c r="D90" i="7"/>
  <c r="D89" i="7"/>
  <c r="D88" i="7"/>
  <c r="B54" i="7"/>
  <c r="B55" i="7"/>
  <c r="E4" i="7"/>
  <c r="F4" i="7"/>
  <c r="F5" i="7"/>
  <c r="F6" i="7"/>
  <c r="F7" i="7"/>
  <c r="F8" i="7"/>
  <c r="E9" i="7"/>
  <c r="E10" i="7"/>
  <c r="B12" i="7"/>
  <c r="B13" i="7"/>
  <c r="C19" i="7"/>
  <c r="C42" i="7"/>
  <c r="D83" i="7"/>
  <c r="D84" i="7"/>
  <c r="D86" i="7"/>
  <c r="D87" i="7"/>
  <c r="C20" i="6"/>
  <c r="D88" i="6" l="1"/>
  <c r="D87" i="6"/>
  <c r="D86" i="6"/>
  <c r="D84" i="6"/>
  <c r="D83" i="6"/>
  <c r="C27" i="6"/>
  <c r="E10" i="6"/>
  <c r="D10" i="6"/>
  <c r="E9" i="6"/>
  <c r="F8" i="6"/>
  <c r="E8" i="6"/>
  <c r="F7" i="6"/>
  <c r="E7" i="6"/>
  <c r="F6" i="6"/>
  <c r="E6" i="6"/>
  <c r="F5" i="6"/>
  <c r="E5" i="6"/>
  <c r="F4" i="6"/>
  <c r="E4" i="6"/>
  <c r="C27" i="5"/>
  <c r="C20" i="5"/>
  <c r="D10" i="5"/>
  <c r="D9" i="5"/>
  <c r="E10" i="5"/>
  <c r="F8" i="5"/>
  <c r="E8" i="5"/>
  <c r="D8" i="5"/>
  <c r="E7" i="5"/>
  <c r="E6" i="5"/>
  <c r="E5" i="5"/>
  <c r="D85" i="5" l="1"/>
  <c r="D81" i="5"/>
  <c r="D82" i="5"/>
  <c r="D83" i="5"/>
  <c r="D84" i="5"/>
  <c r="D80" i="5"/>
  <c r="E9" i="5"/>
  <c r="F7" i="5"/>
  <c r="F6" i="5"/>
  <c r="F5" i="5"/>
  <c r="F4" i="5"/>
  <c r="E4" i="5"/>
  <c r="D85" i="4" l="1"/>
  <c r="D87" i="4"/>
  <c r="D82" i="4"/>
  <c r="D88" i="4"/>
  <c r="D86" i="4"/>
  <c r="D84" i="4"/>
  <c r="D80" i="4"/>
  <c r="D83" i="4"/>
  <c r="D81" i="4"/>
  <c r="D79" i="4"/>
  <c r="E30" i="4" l="1"/>
  <c r="E29" i="4"/>
  <c r="E28" i="4"/>
  <c r="E27" i="4"/>
  <c r="E26" i="4"/>
  <c r="E24" i="4"/>
  <c r="F22" i="4"/>
  <c r="E22" i="4"/>
  <c r="E21" i="4"/>
  <c r="F20" i="4"/>
  <c r="F19" i="4"/>
  <c r="E20" i="4"/>
  <c r="E19" i="4"/>
  <c r="E17" i="4"/>
  <c r="D17" i="4"/>
  <c r="D8" i="4"/>
  <c r="D6" i="4"/>
  <c r="D4" i="4"/>
  <c r="F17" i="4"/>
  <c r="I27" i="3" l="1"/>
  <c r="G27" i="3"/>
  <c r="K25" i="3"/>
  <c r="K27" i="3" s="1"/>
  <c r="K24" i="3"/>
  <c r="I20" i="3"/>
  <c r="K20" i="3" s="1"/>
  <c r="G20" i="3"/>
  <c r="K18" i="3"/>
  <c r="K17" i="3"/>
  <c r="K16" i="3"/>
  <c r="K15" i="3"/>
  <c r="K14" i="3"/>
  <c r="K13" i="3"/>
  <c r="D17" i="2" l="1"/>
  <c r="D10" i="2"/>
  <c r="D8" i="2"/>
  <c r="D6" i="2"/>
  <c r="D5" i="2"/>
  <c r="D4" i="2"/>
  <c r="E24" i="2" s="1"/>
  <c r="E5" i="2" l="1"/>
  <c r="E8" i="2"/>
  <c r="E10" i="2"/>
  <c r="E17" i="2"/>
  <c r="E7" i="2"/>
  <c r="E22" i="2"/>
  <c r="E9" i="2"/>
  <c r="E18" i="2"/>
  <c r="E23" i="2"/>
  <c r="E6" i="2"/>
  <c r="E21" i="2"/>
  <c r="E16" i="2"/>
  <c r="E19" i="2"/>
  <c r="D73" i="1"/>
  <c r="F9" i="1" l="1"/>
  <c r="F8" i="1"/>
  <c r="F22" i="1"/>
  <c r="F15" i="1"/>
  <c r="D22" i="1" l="1"/>
  <c r="D5" i="1"/>
  <c r="D6" i="1"/>
  <c r="D7" i="1"/>
  <c r="D8" i="1"/>
  <c r="D9" i="1"/>
  <c r="D10" i="1"/>
  <c r="D15" i="1"/>
  <c r="D4" i="1"/>
  <c r="E26" i="1" l="1"/>
  <c r="E25" i="1"/>
  <c r="E24" i="1"/>
</calcChain>
</file>

<file path=xl/sharedStrings.xml><?xml version="1.0" encoding="utf-8"?>
<sst xmlns="http://schemas.openxmlformats.org/spreadsheetml/2006/main" count="872" uniqueCount="326">
  <si>
    <t>Total</t>
  </si>
  <si>
    <t xml:space="preserve">          July</t>
  </si>
  <si>
    <t>NPS Rangers and VIPS</t>
  </si>
  <si>
    <t>Denali</t>
  </si>
  <si>
    <t>Foraker</t>
  </si>
  <si>
    <t>Guided Climbers including Guides</t>
  </si>
  <si>
    <t xml:space="preserve">          Alaska</t>
  </si>
  <si>
    <t xml:space="preserve">          Colorado</t>
  </si>
  <si>
    <t xml:space="preserve">          Washington</t>
  </si>
  <si>
    <t>Oldest Female Climber</t>
  </si>
  <si>
    <t xml:space="preserve">Youngest Male Climber </t>
  </si>
  <si>
    <t xml:space="preserve">          West Buttress</t>
  </si>
  <si>
    <t xml:space="preserve">          West Rib</t>
  </si>
  <si>
    <t xml:space="preserve">          Upper West Rib</t>
  </si>
  <si>
    <t xml:space="preserve">          Muldrow Glacier</t>
  </si>
  <si>
    <t xml:space="preserve">          Orient Express</t>
  </si>
  <si>
    <t>WB &amp; Misc Routes</t>
  </si>
  <si>
    <t>MG (Wonder Lake)</t>
  </si>
  <si>
    <t>Guided</t>
  </si>
  <si>
    <t>Non-Guided</t>
  </si>
  <si>
    <t>17 yrs</t>
  </si>
  <si>
    <t>30 yrs</t>
  </si>
  <si>
    <t>Nations (outside of USA) with the Most Climbers</t>
  </si>
  <si>
    <t xml:space="preserve"> -</t>
  </si>
  <si>
    <t>Women Climbers (included in above numbers)</t>
  </si>
  <si>
    <t>Male</t>
  </si>
  <si>
    <t>Female</t>
  </si>
  <si>
    <t>38 yrs</t>
  </si>
  <si>
    <t>37 yrs</t>
  </si>
  <si>
    <t>34 yrs</t>
  </si>
  <si>
    <t>29 yrs</t>
  </si>
  <si>
    <t>WHERE DO OUR CLIMBERS COME FROM?</t>
  </si>
  <si>
    <t>A SNAPSHOT OF THE SEASON</t>
  </si>
  <si>
    <t>US States with the Most Climbers</t>
  </si>
  <si>
    <t>NPS and Volunteer Rangers</t>
  </si>
  <si>
    <t>Average Age of NPS Ranger and Volunteer</t>
  </si>
  <si>
    <t>Most Unusual Countries</t>
  </si>
  <si>
    <t>May</t>
  </si>
  <si>
    <t>June</t>
  </si>
  <si>
    <t>HOW LONG DOES IT TAKE?</t>
  </si>
  <si>
    <t>MOST POPULAR SUMMIT DATES</t>
  </si>
  <si>
    <t>Total Climbers (does not include canceled)</t>
  </si>
  <si>
    <t>Independent Climbers</t>
  </si>
  <si>
    <t>Average Age of Male Climbers</t>
  </si>
  <si>
    <t>Average Age of Female Climbers</t>
  </si>
  <si>
    <t>WHO ARE THE LICENSED GUIDES?</t>
  </si>
  <si>
    <t>WHO ARE THE NPS MOUNTAINEERING  RANGERS?</t>
  </si>
  <si>
    <t>California</t>
  </si>
  <si>
    <t>Japan</t>
  </si>
  <si>
    <t>Total Summits</t>
  </si>
  <si>
    <t>Women Summits (included in total summits)</t>
  </si>
  <si>
    <t>Summits</t>
  </si>
  <si>
    <t>Attempts</t>
  </si>
  <si>
    <t>Average Trip Length - in days</t>
  </si>
  <si>
    <t>International Climbers  (50 Nations Represented)</t>
  </si>
  <si>
    <t>Canada</t>
  </si>
  <si>
    <t>Poland</t>
  </si>
  <si>
    <t>United Kingdom</t>
  </si>
  <si>
    <t>Russia</t>
  </si>
  <si>
    <t>WHO CLIMBS DENALI &amp; FORAKER?</t>
  </si>
  <si>
    <t xml:space="preserve">Oldest Male Climber  </t>
  </si>
  <si>
    <t xml:space="preserve">Youngest Female Climber  </t>
  </si>
  <si>
    <t>WHICH ROUTES WERE CLIMBED IN 2019?</t>
  </si>
  <si>
    <t xml:space="preserve">          Cassin Ridge</t>
  </si>
  <si>
    <t>Archangel Ridge (Foraker)</t>
  </si>
  <si>
    <t>Infinite Spur (Foraker)</t>
  </si>
  <si>
    <t>Southeast Ridge (Foraker)</t>
  </si>
  <si>
    <t xml:space="preserve">          Sultana (Foraker)</t>
  </si>
  <si>
    <t xml:space="preserve">Routes  Climbed (Summits and Attempts) </t>
  </si>
  <si>
    <t>Muldrow Glacier Traverse  (includes 1 NPS Ranger Patrol)</t>
  </si>
  <si>
    <t>MGT (Muldrow Glacier Traverse)</t>
  </si>
  <si>
    <t>Oman</t>
  </si>
  <si>
    <t>Bosnia</t>
  </si>
  <si>
    <t>Lebanon</t>
  </si>
  <si>
    <t>Summits by Month  (West Buttress)</t>
  </si>
  <si>
    <t>Busiest Summit Days (West Buttress)</t>
  </si>
  <si>
    <t>29 days</t>
  </si>
  <si>
    <t>NPS Patrols</t>
  </si>
  <si>
    <t>27 days</t>
  </si>
  <si>
    <t xml:space="preserve">2019 Climbing Season - General Statistics                                                                            </t>
  </si>
  <si>
    <t>Average Age of   Guide</t>
  </si>
  <si>
    <t>39 yrs</t>
  </si>
  <si>
    <t>32 yrs</t>
  </si>
  <si>
    <t>71 yrs</t>
  </si>
  <si>
    <t>43 yrs</t>
  </si>
  <si>
    <t>75 yrs</t>
  </si>
  <si>
    <t>36 yrs</t>
  </si>
  <si>
    <t>18 yrs</t>
  </si>
  <si>
    <t>Guides</t>
  </si>
  <si>
    <t>18 days</t>
  </si>
  <si>
    <t>16 days</t>
  </si>
  <si>
    <t>35 days</t>
  </si>
  <si>
    <t>33 days</t>
  </si>
  <si>
    <t>Percentage of Total  Denali</t>
  </si>
  <si>
    <t>Percentage   of Total  Foraker</t>
  </si>
  <si>
    <t>%</t>
  </si>
  <si>
    <t>Earliest Summit Date</t>
  </si>
  <si>
    <t>Latest Summit Date</t>
  </si>
  <si>
    <t>Climbers from USA  (43 States plus Dist. Of Col. &amp;  VI Represented)</t>
  </si>
  <si>
    <t>2018 Climbing Season - General Statistics</t>
  </si>
  <si>
    <t>Percentage of Total</t>
  </si>
  <si>
    <t>Climbers from USA  (42 States Represented)</t>
  </si>
  <si>
    <t>International Climbers  (51 Nations Represented)</t>
  </si>
  <si>
    <t xml:space="preserve">          Poland</t>
  </si>
  <si>
    <t xml:space="preserve">          Canada</t>
  </si>
  <si>
    <t xml:space="preserve">          Australia</t>
  </si>
  <si>
    <t xml:space="preserve">          China </t>
  </si>
  <si>
    <t>Andorra</t>
  </si>
  <si>
    <t>Kazakhstan</t>
  </si>
  <si>
    <t>Qatar</t>
  </si>
  <si>
    <t>WHO CLIMBS DENALI?</t>
  </si>
  <si>
    <t>35 yrs</t>
  </si>
  <si>
    <t>Oldest Male Climber  (2- Denali)</t>
  </si>
  <si>
    <t>70 yrs</t>
  </si>
  <si>
    <t>33 yrs</t>
  </si>
  <si>
    <t>67 yrs</t>
  </si>
  <si>
    <t>28 yrs</t>
  </si>
  <si>
    <t>Youngest Female Climber  (2 - Denali)</t>
  </si>
  <si>
    <t>20 yrs</t>
  </si>
  <si>
    <t>22 yrs</t>
  </si>
  <si>
    <t>Concessionaire Guides</t>
  </si>
  <si>
    <t>Average Age of  Concessionaire Guide</t>
  </si>
  <si>
    <t>Summits by Month</t>
  </si>
  <si>
    <t>April</t>
  </si>
  <si>
    <t>Busiest Summit Days</t>
  </si>
  <si>
    <t>WHICH ROUTES ARE CLIMBED?</t>
  </si>
  <si>
    <t>Routes  Climbed (Summits and Attempts)</t>
  </si>
  <si>
    <t xml:space="preserve">          Cassin</t>
  </si>
  <si>
    <t xml:space="preserve">          Slovak Direct</t>
  </si>
  <si>
    <t>South Face</t>
  </si>
  <si>
    <t xml:space="preserve">          Sultana</t>
  </si>
  <si>
    <t>NPS Patrols 14K &amp; 17K</t>
  </si>
  <si>
    <t>-</t>
  </si>
  <si>
    <t xml:space="preserve"> END OF SEASON STATISTICS</t>
  </si>
  <si>
    <t>TOTAL NUMBER OF CLIMBERS</t>
  </si>
  <si>
    <t>FEMALE CLIMBERS</t>
  </si>
  <si>
    <t>OF TOTAL CLIMBERS</t>
  </si>
  <si>
    <t>FEMALE SUMMITS</t>
  </si>
  <si>
    <t>OF FEMALE CLIMBERS SUMMITED</t>
  </si>
  <si>
    <t>STATES</t>
  </si>
  <si>
    <t>CO</t>
  </si>
  <si>
    <t>WA</t>
  </si>
  <si>
    <t>DENALI</t>
  </si>
  <si>
    <t>AK</t>
  </si>
  <si>
    <t>ROUTE</t>
  </si>
  <si>
    <t>ATTEMPTS</t>
  </si>
  <si>
    <t>SUMMITS</t>
  </si>
  <si>
    <t>PERCENTAGE</t>
  </si>
  <si>
    <t>CA</t>
  </si>
  <si>
    <t>CZECH DIRECT</t>
  </si>
  <si>
    <t>COUNTRIES</t>
  </si>
  <si>
    <t>CASSIN RIDGE</t>
  </si>
  <si>
    <t>USA</t>
  </si>
  <si>
    <t>MULDROW GLACIER</t>
  </si>
  <si>
    <t>WEST BUTTRESS</t>
  </si>
  <si>
    <t>WEST RIB</t>
  </si>
  <si>
    <t>Germany</t>
  </si>
  <si>
    <t>UPPER WEST RIB</t>
  </si>
  <si>
    <t>Totals</t>
  </si>
  <si>
    <t>INTERESTING COUNTRIES</t>
  </si>
  <si>
    <t>Saudia Arabia</t>
  </si>
  <si>
    <t>MT FORAKER</t>
  </si>
  <si>
    <t>Latvia</t>
  </si>
  <si>
    <t>Aruba</t>
  </si>
  <si>
    <t>INFINATE SPUR</t>
  </si>
  <si>
    <t>Lituania</t>
  </si>
  <si>
    <t>SULTANA</t>
  </si>
  <si>
    <t>SUMMITS BY MONTH</t>
  </si>
  <si>
    <t>July</t>
  </si>
  <si>
    <t>BUSIEST SUMMIT DAYS</t>
  </si>
  <si>
    <t>May 31</t>
  </si>
  <si>
    <t>June 1</t>
  </si>
  <si>
    <t>June 14</t>
  </si>
  <si>
    <t>June 20</t>
  </si>
  <si>
    <t>FIRST SUMMIT OF THE SEASON WAS ON APRIL 16</t>
  </si>
  <si>
    <t>AVERAGE AGE OF CLIMBERS</t>
  </si>
  <si>
    <t>years</t>
  </si>
  <si>
    <t>YOUNGEST CLIMBER</t>
  </si>
  <si>
    <t>YOUNGEST AGE TO SUMMIT</t>
  </si>
  <si>
    <t>OLDEST CLIMBER</t>
  </si>
  <si>
    <t>OLDEST AGE TO SUMMIT</t>
  </si>
  <si>
    <t>AVERAGE EXPEDITION LENGTH</t>
  </si>
  <si>
    <t>days</t>
  </si>
  <si>
    <t>Average days with summits</t>
  </si>
  <si>
    <t>Avg from start to summit day:</t>
  </si>
  <si>
    <t xml:space="preserve">2021 Climbing Season - General Statistics                                                                            </t>
  </si>
  <si>
    <t>Climbers from USA  (49 States plus Dist. Of Columbia )</t>
  </si>
  <si>
    <t>Washington</t>
  </si>
  <si>
    <t>International Climbers  (29 Nations Represented Including USA)</t>
  </si>
  <si>
    <t>Mexico</t>
  </si>
  <si>
    <t>Netherlands</t>
  </si>
  <si>
    <t>Argentina</t>
  </si>
  <si>
    <t>Azerbaijan</t>
  </si>
  <si>
    <t>Paraguay</t>
  </si>
  <si>
    <t>Youngest Male to Summit</t>
  </si>
  <si>
    <t>Youngest Female to Summit</t>
  </si>
  <si>
    <t>Oldest Female to Summit</t>
  </si>
  <si>
    <t>Oldest Male to Summit</t>
  </si>
  <si>
    <t>n/a</t>
  </si>
  <si>
    <t>Slovak  Direct</t>
  </si>
  <si>
    <t>Denali Diamond</t>
  </si>
  <si>
    <t>NW Buttress</t>
  </si>
  <si>
    <t>South Buttress</t>
  </si>
  <si>
    <t>East Buttress</t>
  </si>
  <si>
    <t>Messner Couloir</t>
  </si>
  <si>
    <t>Private</t>
  </si>
  <si>
    <t>Denali Summit Percentage</t>
  </si>
  <si>
    <t xml:space="preserve">2022 Climbing Season - General Statistics                                                                            </t>
  </si>
  <si>
    <t>National Park Mountaineering Rangers/Volunteers  on Mountain</t>
  </si>
  <si>
    <t>Denali Summit Percentage (Private vs Guided)</t>
  </si>
  <si>
    <t>NPS</t>
  </si>
  <si>
    <t>Spain</t>
  </si>
  <si>
    <t>1 each</t>
  </si>
  <si>
    <t>2 each</t>
  </si>
  <si>
    <t>Algeria, Ecuador, Iceland, Kazakhstan,  Lebanon, Macedonia,  New Zealand, Pakistan, Saudi Arabia, Qatar</t>
  </si>
  <si>
    <t>Belgium, China, Chili, Dom. Rep, Indonesia, Israel, Lituania, Morocco, Portugal, Singapore, UAE</t>
  </si>
  <si>
    <t xml:space="preserve">Nations (outside of USA) with the Most Climbers </t>
  </si>
  <si>
    <r>
      <t>WHO CLIMBS DENALI &amp; FORAKER?</t>
    </r>
    <r>
      <rPr>
        <i/>
        <sz val="9"/>
        <color rgb="FFFF0000"/>
        <rFont val="Calibri"/>
        <family val="2"/>
        <scheme val="minor"/>
      </rPr>
      <t xml:space="preserve"> (79% of climbers submitted their age)</t>
    </r>
  </si>
  <si>
    <t>26 yrs</t>
  </si>
  <si>
    <t>68 yrs</t>
  </si>
  <si>
    <t>61 yrs</t>
  </si>
  <si>
    <t>14 yrs</t>
  </si>
  <si>
    <t>44 yrs</t>
  </si>
  <si>
    <t>23 yrs</t>
  </si>
  <si>
    <t>40 yrs</t>
  </si>
  <si>
    <t>WHICH ROUTES WERE CLIMBED IN 2022?</t>
  </si>
  <si>
    <t>Average Trip Length (all trips) - in days</t>
  </si>
  <si>
    <t>Average Trip Length (for summits) - in days</t>
  </si>
  <si>
    <t>Climbers from USA  (46 States plus Dist. Of Columbia )</t>
  </si>
  <si>
    <t>Percentage of Climbers</t>
  </si>
  <si>
    <t>International Climbers  (51 Nations [excluding USA])</t>
  </si>
  <si>
    <t>American States with the Most Climbers</t>
  </si>
  <si>
    <t xml:space="preserve">United Kingdom </t>
  </si>
  <si>
    <r>
      <t>Father Son Wall</t>
    </r>
    <r>
      <rPr>
        <i/>
        <sz val="9"/>
        <color theme="1"/>
        <rFont val="Calibri"/>
        <family val="2"/>
        <scheme val="minor"/>
      </rPr>
      <t xml:space="preserve">  </t>
    </r>
  </si>
  <si>
    <t>WHICH ROUTES WERE CLIMBED IN 2023?</t>
  </si>
  <si>
    <t xml:space="preserve">2023 Climbing Season - General Statistics                                                                            </t>
  </si>
  <si>
    <t>France</t>
  </si>
  <si>
    <t>Switzerland</t>
  </si>
  <si>
    <t>Our Other Countries</t>
  </si>
  <si>
    <t>Australia, Austria, Bahrain, Belarus, Brazil, Chile, China,  Columbia, Costa Rica, Czech Republic, Ecuador, Germany, India, Ireland, Israel, Japan, Korea, Kyrgysztan, Latvia, Lithuania</t>
  </si>
  <si>
    <t>Malaysia, Malta, Mexico, Monaco, Morocoo, Nepal, Netherlands New Zealand, Norway, Portugal, Purerto Rico, Qatar, Russia, Senegal, Singapore, Slovakia, Spain, Sri Lanka, Sweden, Ukraine</t>
  </si>
  <si>
    <t>37 years</t>
  </si>
  <si>
    <t>26 Years</t>
  </si>
  <si>
    <t>34 years</t>
  </si>
  <si>
    <t>79 years</t>
  </si>
  <si>
    <t>33 years</t>
  </si>
  <si>
    <t>68 years</t>
  </si>
  <si>
    <t>60 years</t>
  </si>
  <si>
    <t>17 years</t>
  </si>
  <si>
    <t>21 years</t>
  </si>
  <si>
    <t>26 years</t>
  </si>
  <si>
    <t>16 years</t>
  </si>
  <si>
    <t>February</t>
  </si>
  <si>
    <t>West Buttress</t>
  </si>
  <si>
    <t>Cassin Ridge</t>
  </si>
  <si>
    <t>East Face</t>
  </si>
  <si>
    <t>Upper West Rib (cutoff)</t>
  </si>
  <si>
    <t>West Rib</t>
  </si>
  <si>
    <t>Infinate Spur (Foraker)</t>
  </si>
  <si>
    <t>17 Days</t>
  </si>
  <si>
    <t>28 Days</t>
  </si>
  <si>
    <t>19 Days</t>
  </si>
  <si>
    <t>Average Trip Length (For NPS Patrols) - in days</t>
  </si>
  <si>
    <t>21 Days</t>
  </si>
  <si>
    <t>Alaska</t>
  </si>
  <si>
    <t>Colorado</t>
  </si>
  <si>
    <t>Wyoming</t>
  </si>
  <si>
    <t>Montana</t>
  </si>
  <si>
    <t xml:space="preserve"> United Kingdom</t>
  </si>
  <si>
    <t>China, India, Japan</t>
  </si>
  <si>
    <t>Czech Republic</t>
  </si>
  <si>
    <t xml:space="preserve"> Austria, France, Australia, Netherlands, Spain, Argentina, Germany, Mexico, Italy, Russia, Switzerland, Brazil, Belgium, Republic of Korea, Nepal, New Zealand, Ecuador, Malaysia, Norway, Slovakia, Ukraine, </t>
  </si>
  <si>
    <t xml:space="preserve">Croatia, Greece, Ireland, Kyrgyszatn, Peru, Cayman Islands, Columba, Denmark, Egypt, Estonia, Hong Kong, Islamic Republic of Iran, Isreal, Kazakhstan, Malta, Republic of Moldova, Namibia, Portugal, Saudi Arabia, United Arab Emirates </t>
  </si>
  <si>
    <t>137 total</t>
  </si>
  <si>
    <t xml:space="preserve">25 total </t>
  </si>
  <si>
    <t>May 26th</t>
  </si>
  <si>
    <t>June 14th</t>
  </si>
  <si>
    <t>June 7th</t>
  </si>
  <si>
    <t>Father and Sons Wall</t>
  </si>
  <si>
    <t>Orient Express</t>
  </si>
  <si>
    <t>Sultana</t>
  </si>
  <si>
    <t>Infinite Spur</t>
  </si>
  <si>
    <t>French Ridge</t>
  </si>
  <si>
    <t>Archangel Ridge</t>
  </si>
  <si>
    <t>14 Days</t>
  </si>
  <si>
    <t>20 Days</t>
  </si>
  <si>
    <t>13 Days</t>
  </si>
  <si>
    <t>22 Days</t>
  </si>
  <si>
    <t xml:space="preserve">2024 Climbing Season - General Statistics                                                                            </t>
  </si>
  <si>
    <t>3 or fewer climbers from each country</t>
  </si>
  <si>
    <t>SNAPSHOT OF THE SEASON</t>
  </si>
  <si>
    <t>Climbers from USA</t>
  </si>
  <si>
    <t>States represented</t>
  </si>
  <si>
    <t>Total climbers</t>
  </si>
  <si>
    <t>Percent of total climbers</t>
  </si>
  <si>
    <t>Countries represented (other than USA)</t>
  </si>
  <si>
    <t>International Climbers</t>
  </si>
  <si>
    <t>Other countries</t>
  </si>
  <si>
    <t>International Countries With the Most Climbers</t>
  </si>
  <si>
    <t>More than 3 climbers</t>
  </si>
  <si>
    <t>WHO CLIMBS MOUNT MCKINLEY AND FORAKER?</t>
  </si>
  <si>
    <t>WHO ARE THE NPS MOUNTAINEERING RANGERS?</t>
  </si>
  <si>
    <t>Summit Rate</t>
  </si>
  <si>
    <t>{{n_states}}</t>
  </si>
  <si>
    <t>{{us_total}}</t>
  </si>
  <si>
    <t>{{us_percent}}</t>
  </si>
  <si>
    <t>{{n_countries}}</t>
  </si>
  <si>
    <t>{{international_total}}</t>
  </si>
  <si>
    <t>{{international_percent}}</t>
  </si>
  <si>
    <t>{{other_countries}}</t>
  </si>
  <si>
    <t>{{other_countries_total}}</t>
  </si>
  <si>
    <t>{{countries_w_less_than_3}}</t>
  </si>
  <si>
    <t>{{less_than_3_total}}</t>
  </si>
  <si>
    <t>{{guides_table}}</t>
  </si>
  <si>
    <t>{{rangers_table}}</t>
  </si>
  <si>
    <t>{{monthly_summits_table}}</t>
  </si>
  <si>
    <t>{{top_summit_dates_table}}</t>
  </si>
  <si>
    <t>{{denali_name}}</t>
  </si>
  <si>
    <t>{{snapshot_table::include_header}}</t>
  </si>
  <si>
    <t>{{top_states_table::include_header}}</t>
  </si>
  <si>
    <t>{{top_countries_table::include_header}}</t>
  </si>
  <si>
    <t>{{demographics_table::include_header}}</t>
  </si>
  <si>
    <t>{{denali_routes_table::include_header}}</t>
  </si>
  <si>
    <t>{{foraker_routes_table::include_header}}</t>
  </si>
  <si>
    <t>{{routes_climbed_title}}</t>
  </si>
  <si>
    <t>{{report_title}}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</si>
</sst>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sz val="10"/>
      <name val="Calibri"/>
      <family val="2"/>
    </font>
    <font>
      <sz val="10"/>
      <name val="Calibri"/>
      <family val="2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sz val="10"/>
      <name val="Calibri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22B36"/>
        <bgColor indexed="64"/>
      </patternFill>
    </fill>
    <fill>
      <patternFill patternType="solid">
        <fgColor rgb="FF333F50"/>
        <bgColor indexed="64"/>
      </patternFill>
    </fill>
    <fill>
      <patternFill patternType="solid">
        <fgColor rgb="FFD7D7D7"/>
        <bgColor indexed="64"/>
      </patternFill>
    </fill>
  </fills>
  <borders count="37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 style="thin">
        <color rgb="FFBEBEBE"/>
      </left>
      <right/>
      <top style="thin">
        <color rgb="FFBEBEBE"/>
      </top>
      <bottom style="thin">
        <color rgb="FFBEBEBE"/>
      </bottom>
      <diagonal/>
    </border>
    <border>
      <left/>
      <right/>
      <top style="thin">
        <color rgb="FFBEBEBE"/>
      </top>
      <bottom style="thin">
        <color rgb="FFBEBEBE"/>
      </bottom>
      <diagonal/>
    </border>
    <border>
      <left/>
      <right style="thin">
        <color rgb="FFBEBEBE"/>
      </right>
      <top style="thin">
        <color rgb="FFBEBEBE"/>
      </top>
      <bottom style="thin">
        <color rgb="FFBEBEBE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4" fillId="0" borderId="0"/>
  </cellStyleXfs>
  <cellXfs count="339">
    <xf numFmtId="0" fontId="0" fillId="0" borderId="0" xfId="0"/>
    <xf numFmtId="0" fontId="0" fillId="0" borderId="2" xfId="0" applyBorder="1"/>
    <xf numFmtId="0" fontId="0" fillId="2" borderId="1" xfId="0" applyFill="1" applyBorder="1"/>
    <xf numFmtId="0" fontId="2" fillId="2" borderId="1" xfId="0" applyFont="1" applyFill="1" applyBorder="1" applyAlignment="1">
      <alignment horizontal="center"/>
    </xf>
    <xf numFmtId="9" fontId="2" fillId="2" borderId="1" xfId="1" applyFont="1" applyFill="1" applyBorder="1" applyAlignment="1">
      <alignment horizontal="center" wrapText="1"/>
    </xf>
    <xf numFmtId="9" fontId="0" fillId="0" borderId="0" xfId="1" applyFont="1"/>
    <xf numFmtId="0" fontId="4" fillId="0" borderId="1" xfId="0" applyFont="1" applyBorder="1"/>
    <xf numFmtId="9" fontId="4" fillId="0" borderId="1" xfId="1" applyFont="1" applyBorder="1" applyAlignment="1">
      <alignment horizontal="center"/>
    </xf>
    <xf numFmtId="9" fontId="4" fillId="0" borderId="1" xfId="1" applyFont="1" applyBorder="1"/>
    <xf numFmtId="0" fontId="5" fillId="0" borderId="1" xfId="0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4" fillId="0" borderId="4" xfId="0" applyFont="1" applyBorder="1"/>
    <xf numFmtId="9" fontId="4" fillId="0" borderId="5" xfId="1" applyFont="1" applyBorder="1"/>
    <xf numFmtId="0" fontId="4" fillId="3" borderId="3" xfId="0" applyFont="1" applyFill="1" applyBorder="1"/>
    <xf numFmtId="0" fontId="4" fillId="3" borderId="4" xfId="0" applyFont="1" applyFill="1" applyBorder="1"/>
    <xf numFmtId="9" fontId="4" fillId="3" borderId="5" xfId="1" applyFont="1" applyFill="1" applyBorder="1"/>
    <xf numFmtId="0" fontId="5" fillId="0" borderId="6" xfId="0" applyFont="1" applyBorder="1" applyAlignment="1">
      <alignment horizontal="right"/>
    </xf>
    <xf numFmtId="0" fontId="4" fillId="0" borderId="6" xfId="0" applyFont="1" applyBorder="1"/>
    <xf numFmtId="0" fontId="4" fillId="0" borderId="0" xfId="0" applyFont="1"/>
    <xf numFmtId="0" fontId="5" fillId="0" borderId="4" xfId="0" applyFont="1" applyBorder="1" applyAlignment="1">
      <alignment horizontal="center" wrapText="1"/>
    </xf>
    <xf numFmtId="0" fontId="5" fillId="0" borderId="4" xfId="0" applyFont="1" applyBorder="1" applyAlignment="1">
      <alignment horizontal="center"/>
    </xf>
    <xf numFmtId="0" fontId="5" fillId="0" borderId="3" xfId="0" applyFont="1" applyBorder="1" applyAlignment="1">
      <alignment horizontal="right"/>
    </xf>
    <xf numFmtId="0" fontId="4" fillId="0" borderId="4" xfId="0" applyFont="1" applyBorder="1" applyAlignment="1">
      <alignment horizontal="right"/>
    </xf>
    <xf numFmtId="9" fontId="4" fillId="0" borderId="0" xfId="1" applyFont="1"/>
    <xf numFmtId="0" fontId="4" fillId="0" borderId="1" xfId="0" applyFont="1" applyBorder="1" applyAlignment="1">
      <alignment horizontal="center"/>
    </xf>
    <xf numFmtId="0" fontId="4" fillId="0" borderId="3" xfId="0" applyFont="1" applyBorder="1" applyAlignment="1">
      <alignment horizontal="left"/>
    </xf>
    <xf numFmtId="0" fontId="5" fillId="0" borderId="4" xfId="0" applyFont="1" applyBorder="1"/>
    <xf numFmtId="0" fontId="5" fillId="0" borderId="5" xfId="0" applyFont="1" applyBorder="1"/>
    <xf numFmtId="0" fontId="4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0" fillId="3" borderId="0" xfId="0" applyFill="1"/>
    <xf numFmtId="9" fontId="0" fillId="3" borderId="0" xfId="1" applyFont="1" applyFill="1"/>
    <xf numFmtId="0" fontId="4" fillId="0" borderId="0" xfId="0" applyFont="1" applyAlignment="1">
      <alignment horizontal="left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9" fontId="2" fillId="0" borderId="1" xfId="1" applyFont="1" applyFill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9" fontId="5" fillId="0" borderId="0" xfId="1" applyFont="1" applyAlignment="1">
      <alignment horizontal="right"/>
    </xf>
    <xf numFmtId="0" fontId="5" fillId="3" borderId="0" xfId="0" applyFont="1" applyFill="1" applyAlignment="1">
      <alignment horizontal="right"/>
    </xf>
    <xf numFmtId="0" fontId="4" fillId="3" borderId="0" xfId="0" applyFont="1" applyFill="1" applyAlignment="1">
      <alignment horizontal="right"/>
    </xf>
    <xf numFmtId="9" fontId="4" fillId="0" borderId="5" xfId="1" applyFont="1" applyFill="1" applyBorder="1"/>
    <xf numFmtId="9" fontId="4" fillId="0" borderId="1" xfId="1" applyFont="1" applyFill="1" applyBorder="1"/>
    <xf numFmtId="0" fontId="7" fillId="0" borderId="1" xfId="0" applyFont="1" applyBorder="1" applyAlignment="1">
      <alignment horizontal="center"/>
    </xf>
    <xf numFmtId="9" fontId="0" fillId="0" borderId="0" xfId="1" applyFont="1" applyFill="1"/>
    <xf numFmtId="0" fontId="5" fillId="0" borderId="8" xfId="0" applyFont="1" applyBorder="1" applyAlignment="1">
      <alignment horizontal="right"/>
    </xf>
    <xf numFmtId="0" fontId="8" fillId="0" borderId="3" xfId="0" applyFont="1" applyBorder="1" applyAlignment="1">
      <alignment horizontal="left"/>
    </xf>
    <xf numFmtId="9" fontId="5" fillId="0" borderId="1" xfId="1" applyFont="1" applyBorder="1" applyAlignment="1">
      <alignment horizontal="center" wrapText="1"/>
    </xf>
    <xf numFmtId="9" fontId="4" fillId="0" borderId="0" xfId="1" applyFont="1" applyBorder="1"/>
    <xf numFmtId="0" fontId="4" fillId="0" borderId="4" xfId="0" applyFont="1" applyBorder="1" applyAlignment="1">
      <alignment horizontal="center" wrapText="1"/>
    </xf>
    <xf numFmtId="9" fontId="4" fillId="0" borderId="1" xfId="1" applyFont="1" applyBorder="1" applyAlignment="1">
      <alignment horizontal="right"/>
    </xf>
    <xf numFmtId="0" fontId="8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wrapText="1"/>
    </xf>
    <xf numFmtId="9" fontId="4" fillId="0" borderId="0" xfId="1" applyFont="1" applyAlignment="1">
      <alignment horizontal="center" vertical="center"/>
    </xf>
    <xf numFmtId="9" fontId="1" fillId="0" borderId="0" xfId="1" applyFont="1" applyAlignment="1">
      <alignment horizontal="center"/>
    </xf>
    <xf numFmtId="16" fontId="5" fillId="0" borderId="3" xfId="0" applyNumberFormat="1" applyFont="1" applyBorder="1"/>
    <xf numFmtId="0" fontId="4" fillId="0" borderId="8" xfId="0" applyFont="1" applyBorder="1"/>
    <xf numFmtId="16" fontId="4" fillId="0" borderId="0" xfId="0" applyNumberFormat="1" applyFont="1"/>
    <xf numFmtId="0" fontId="9" fillId="0" borderId="11" xfId="0" applyFont="1" applyBorder="1" applyAlignment="1">
      <alignment vertical="top" wrapText="1"/>
    </xf>
    <xf numFmtId="0" fontId="10" fillId="0" borderId="12" xfId="0" applyFont="1" applyBorder="1" applyAlignment="1">
      <alignment vertical="top" wrapText="1"/>
    </xf>
    <xf numFmtId="0" fontId="10" fillId="0" borderId="13" xfId="0" applyFont="1" applyBorder="1" applyAlignment="1">
      <alignment vertical="top" wrapText="1"/>
    </xf>
    <xf numFmtId="9" fontId="2" fillId="0" borderId="1" xfId="1" applyFont="1" applyBorder="1" applyAlignment="1">
      <alignment horizontal="center" wrapText="1"/>
    </xf>
    <xf numFmtId="0" fontId="4" fillId="0" borderId="5" xfId="0" applyFont="1" applyBorder="1"/>
    <xf numFmtId="0" fontId="3" fillId="0" borderId="0" xfId="0" applyFont="1"/>
    <xf numFmtId="0" fontId="11" fillId="0" borderId="0" xfId="0" applyFont="1"/>
    <xf numFmtId="10" fontId="4" fillId="0" borderId="0" xfId="1" applyNumberFormat="1" applyFont="1"/>
    <xf numFmtId="0" fontId="4" fillId="0" borderId="16" xfId="0" applyFont="1" applyBorder="1"/>
    <xf numFmtId="10" fontId="4" fillId="0" borderId="0" xfId="0" applyNumberFormat="1" applyFont="1"/>
    <xf numFmtId="0" fontId="12" fillId="0" borderId="0" xfId="0" applyFont="1"/>
    <xf numFmtId="0" fontId="11" fillId="0" borderId="0" xfId="0" applyFont="1" applyAlignment="1">
      <alignment horizontal="center"/>
    </xf>
    <xf numFmtId="0" fontId="13" fillId="5" borderId="0" xfId="0" applyFont="1" applyFill="1" applyAlignment="1">
      <alignment horizontal="right"/>
    </xf>
    <xf numFmtId="0" fontId="11" fillId="5" borderId="0" xfId="0" applyFont="1" applyFill="1"/>
    <xf numFmtId="9" fontId="11" fillId="5" borderId="0" xfId="1" applyFont="1" applyFill="1"/>
    <xf numFmtId="9" fontId="4" fillId="0" borderId="0" xfId="1" applyFont="1" applyAlignment="1">
      <alignment horizontal="center"/>
    </xf>
    <xf numFmtId="0" fontId="11" fillId="5" borderId="0" xfId="0" applyFont="1" applyFill="1" applyAlignment="1">
      <alignment horizontal="right"/>
    </xf>
    <xf numFmtId="9" fontId="11" fillId="5" borderId="0" xfId="1" applyFont="1" applyFill="1" applyAlignment="1">
      <alignment horizontal="right"/>
    </xf>
    <xf numFmtId="0" fontId="11" fillId="0" borderId="0" xfId="0" applyFont="1" applyAlignment="1">
      <alignment horizontal="left"/>
    </xf>
    <xf numFmtId="0" fontId="14" fillId="0" borderId="0" xfId="2" applyAlignment="1">
      <alignment horizontal="center"/>
    </xf>
    <xf numFmtId="49" fontId="4" fillId="0" borderId="0" xfId="0" applyNumberFormat="1" applyFont="1"/>
    <xf numFmtId="0" fontId="4" fillId="6" borderId="0" xfId="0" applyFont="1" applyFill="1"/>
    <xf numFmtId="0" fontId="11" fillId="6" borderId="0" xfId="0" applyFont="1" applyFill="1"/>
    <xf numFmtId="10" fontId="4" fillId="0" borderId="1" xfId="1" applyNumberFormat="1" applyFont="1" applyBorder="1"/>
    <xf numFmtId="0" fontId="10" fillId="0" borderId="12" xfId="0" applyFont="1" applyBorder="1" applyAlignment="1">
      <alignment wrapText="1"/>
    </xf>
    <xf numFmtId="0" fontId="9" fillId="0" borderId="11" xfId="0" applyFont="1" applyBorder="1" applyAlignment="1">
      <alignment wrapText="1"/>
    </xf>
    <xf numFmtId="0" fontId="10" fillId="0" borderId="13" xfId="0" applyFont="1" applyBorder="1" applyAlignment="1">
      <alignment wrapText="1"/>
    </xf>
    <xf numFmtId="9" fontId="4" fillId="0" borderId="1" xfId="1" applyFont="1" applyBorder="1" applyAlignment="1"/>
    <xf numFmtId="9" fontId="4" fillId="0" borderId="0" xfId="1" applyFont="1" applyAlignment="1">
      <alignment horizontal="right" vertical="center"/>
    </xf>
    <xf numFmtId="9" fontId="4" fillId="0" borderId="0" xfId="1" applyFont="1" applyAlignment="1">
      <alignment horizontal="right"/>
    </xf>
    <xf numFmtId="9" fontId="0" fillId="0" borderId="0" xfId="1" applyFont="1" applyAlignment="1">
      <alignment horizontal="right"/>
    </xf>
    <xf numFmtId="9" fontId="4" fillId="0" borderId="6" xfId="0" applyNumberFormat="1" applyFont="1" applyBorder="1"/>
    <xf numFmtId="164" fontId="4" fillId="0" borderId="1" xfId="0" applyNumberFormat="1" applyFont="1" applyBorder="1"/>
    <xf numFmtId="164" fontId="4" fillId="0" borderId="0" xfId="1" applyNumberFormat="1" applyFont="1"/>
    <xf numFmtId="164" fontId="4" fillId="0" borderId="0" xfId="1" applyNumberFormat="1" applyFont="1" applyBorder="1"/>
    <xf numFmtId="164" fontId="4" fillId="0" borderId="1" xfId="1" applyNumberFormat="1" applyFont="1" applyBorder="1" applyAlignment="1">
      <alignment horizontal="right"/>
    </xf>
    <xf numFmtId="0" fontId="15" fillId="0" borderId="1" xfId="0" applyFont="1" applyBorder="1"/>
    <xf numFmtId="9" fontId="4" fillId="0" borderId="6" xfId="1" applyFont="1" applyBorder="1"/>
    <xf numFmtId="9" fontId="4" fillId="0" borderId="0" xfId="0" applyNumberFormat="1" applyFont="1"/>
    <xf numFmtId="0" fontId="5" fillId="0" borderId="0" xfId="0" applyFont="1" applyAlignment="1">
      <alignment horizontal="right" wrapText="1"/>
    </xf>
    <xf numFmtId="0" fontId="4" fillId="0" borderId="0" xfId="0" applyFont="1" applyAlignment="1">
      <alignment horizontal="right" wrapText="1"/>
    </xf>
    <xf numFmtId="0" fontId="4" fillId="0" borderId="4" xfId="0" applyFont="1" applyBorder="1" applyAlignment="1">
      <alignment horizontal="right" wrapText="1"/>
    </xf>
    <xf numFmtId="0" fontId="5" fillId="0" borderId="4" xfId="0" applyFont="1" applyBorder="1" applyAlignment="1">
      <alignment wrapText="1"/>
    </xf>
    <xf numFmtId="0" fontId="5" fillId="0" borderId="5" xfId="0" applyFont="1" applyBorder="1" applyAlignment="1">
      <alignment wrapText="1"/>
    </xf>
    <xf numFmtId="0" fontId="0" fillId="0" borderId="2" xfId="0" applyBorder="1" applyAlignment="1">
      <alignment wrapText="1"/>
    </xf>
    <xf numFmtId="0" fontId="0" fillId="0" borderId="0" xfId="0" applyAlignment="1">
      <alignment wrapText="1"/>
    </xf>
    <xf numFmtId="0" fontId="5" fillId="0" borderId="3" xfId="0" applyFont="1" applyBorder="1" applyAlignment="1">
      <alignment horizontal="right" wrapText="1"/>
    </xf>
    <xf numFmtId="0" fontId="11" fillId="0" borderId="1" xfId="0" applyFont="1" applyBorder="1" applyAlignment="1">
      <alignment horizontal="right"/>
    </xf>
    <xf numFmtId="0" fontId="11" fillId="0" borderId="3" xfId="0" applyFont="1" applyBorder="1" applyAlignment="1">
      <alignment horizontal="right"/>
    </xf>
    <xf numFmtId="0" fontId="6" fillId="0" borderId="3" xfId="0" applyFont="1" applyBorder="1"/>
    <xf numFmtId="0" fontId="6" fillId="0" borderId="4" xfId="0" applyFont="1" applyBorder="1"/>
    <xf numFmtId="9" fontId="0" fillId="0" borderId="0" xfId="0" applyNumberFormat="1"/>
    <xf numFmtId="9" fontId="4" fillId="0" borderId="0" xfId="0" applyNumberFormat="1" applyFont="1" applyAlignment="1">
      <alignment horizontal="right"/>
    </xf>
    <xf numFmtId="16" fontId="0" fillId="0" borderId="0" xfId="0" applyNumberFormat="1"/>
    <xf numFmtId="0" fontId="5" fillId="0" borderId="6" xfId="0" applyFont="1" applyBorder="1" applyAlignment="1">
      <alignment horizontal="right" wrapText="1"/>
    </xf>
    <xf numFmtId="0" fontId="4" fillId="0" borderId="6" xfId="0" applyFont="1" applyBorder="1" applyAlignment="1">
      <alignment wrapText="1"/>
    </xf>
    <xf numFmtId="0" fontId="4" fillId="0" borderId="6" xfId="0" applyFont="1" applyBorder="1" applyAlignment="1">
      <alignment horizontal="right" wrapText="1"/>
    </xf>
    <xf numFmtId="9" fontId="4" fillId="0" borderId="0" xfId="1" applyFont="1" applyAlignment="1">
      <alignment wrapText="1"/>
    </xf>
    <xf numFmtId="0" fontId="4" fillId="0" borderId="1" xfId="0" applyFont="1" applyBorder="1" applyAlignment="1">
      <alignment wrapText="1"/>
    </xf>
    <xf numFmtId="0" fontId="0" fillId="0" borderId="0" xfId="0" applyAlignment="1">
      <alignment horizontal="right"/>
    </xf>
    <xf numFmtId="0" fontId="4" fillId="0" borderId="3" xfId="0" applyFont="1" applyBorder="1"/>
    <xf numFmtId="0" fontId="4" fillId="0" borderId="0" xfId="0" applyFont="1" applyAlignment="1">
      <alignment horizontal="center" wrapText="1"/>
    </xf>
    <xf numFmtId="9" fontId="10" fillId="0" borderId="13" xfId="1" applyFont="1" applyFill="1" applyBorder="1" applyAlignment="1">
      <alignment wrapText="1"/>
    </xf>
    <xf numFmtId="0" fontId="10" fillId="0" borderId="0" xfId="0" applyFont="1" applyAlignment="1">
      <alignment wrapText="1"/>
    </xf>
    <xf numFmtId="9" fontId="10" fillId="0" borderId="0" xfId="1" applyFont="1" applyFill="1" applyBorder="1" applyAlignment="1">
      <alignment wrapText="1"/>
    </xf>
    <xf numFmtId="0" fontId="18" fillId="0" borderId="0" xfId="0" applyFont="1" applyAlignment="1">
      <alignment horizontal="right" wrapText="1"/>
    </xf>
    <xf numFmtId="0" fontId="0" fillId="0" borderId="17" xfId="0" applyBorder="1"/>
    <xf numFmtId="0" fontId="0" fillId="2" borderId="17" xfId="0" applyFill="1" applyBorder="1"/>
    <xf numFmtId="0" fontId="2" fillId="2" borderId="17" xfId="0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 wrapText="1"/>
    </xf>
    <xf numFmtId="9" fontId="2" fillId="2" borderId="17" xfId="1" applyFont="1" applyFill="1" applyBorder="1" applyAlignment="1">
      <alignment horizontal="center" wrapText="1"/>
    </xf>
    <xf numFmtId="0" fontId="6" fillId="0" borderId="17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9" fontId="2" fillId="0" borderId="17" xfId="1" applyFont="1" applyFill="1" applyBorder="1" applyAlignment="1">
      <alignment horizontal="center" wrapText="1"/>
    </xf>
    <xf numFmtId="0" fontId="4" fillId="0" borderId="17" xfId="0" applyFont="1" applyBorder="1"/>
    <xf numFmtId="164" fontId="4" fillId="0" borderId="17" xfId="0" applyNumberFormat="1" applyFont="1" applyBorder="1"/>
    <xf numFmtId="164" fontId="4" fillId="0" borderId="17" xfId="1" applyNumberFormat="1" applyFont="1" applyBorder="1" applyAlignment="1">
      <alignment horizontal="right"/>
    </xf>
    <xf numFmtId="0" fontId="4" fillId="0" borderId="17" xfId="0" applyFont="1" applyBorder="1" applyAlignment="1">
      <alignment horizontal="right"/>
    </xf>
    <xf numFmtId="9" fontId="4" fillId="0" borderId="17" xfId="1" applyFont="1" applyBorder="1"/>
    <xf numFmtId="9" fontId="4" fillId="0" borderId="17" xfId="1" applyFont="1" applyBorder="1" applyAlignment="1">
      <alignment horizontal="right"/>
    </xf>
    <xf numFmtId="0" fontId="15" fillId="0" borderId="17" xfId="0" applyFont="1" applyBorder="1"/>
    <xf numFmtId="164" fontId="4" fillId="0" borderId="17" xfId="1" applyNumberFormat="1" applyFont="1" applyBorder="1"/>
    <xf numFmtId="0" fontId="5" fillId="0" borderId="17" xfId="0" applyFont="1" applyBorder="1" applyAlignment="1">
      <alignment horizontal="right"/>
    </xf>
    <xf numFmtId="9" fontId="4" fillId="0" borderId="17" xfId="0" applyNumberFormat="1" applyFont="1" applyBorder="1"/>
    <xf numFmtId="16" fontId="4" fillId="0" borderId="17" xfId="0" applyNumberFormat="1" applyFont="1" applyBorder="1"/>
    <xf numFmtId="0" fontId="4" fillId="3" borderId="17" xfId="0" applyFont="1" applyFill="1" applyBorder="1"/>
    <xf numFmtId="9" fontId="4" fillId="3" borderId="17" xfId="1" applyFont="1" applyFill="1" applyBorder="1"/>
    <xf numFmtId="0" fontId="4" fillId="0" borderId="17" xfId="0" applyFont="1" applyBorder="1" applyAlignment="1">
      <alignment horizontal="center"/>
    </xf>
    <xf numFmtId="0" fontId="4" fillId="0" borderId="17" xfId="0" applyFont="1" applyBorder="1" applyAlignment="1">
      <alignment horizontal="center" wrapText="1"/>
    </xf>
    <xf numFmtId="0" fontId="9" fillId="0" borderId="17" xfId="0" applyFont="1" applyBorder="1" applyAlignment="1">
      <alignment wrapText="1"/>
    </xf>
    <xf numFmtId="0" fontId="10" fillId="0" borderId="17" xfId="0" applyFont="1" applyBorder="1" applyAlignment="1">
      <alignment wrapText="1"/>
    </xf>
    <xf numFmtId="9" fontId="10" fillId="0" borderId="17" xfId="1" applyFont="1" applyFill="1" applyBorder="1" applyAlignment="1">
      <alignment wrapText="1"/>
    </xf>
    <xf numFmtId="9" fontId="4" fillId="0" borderId="17" xfId="1" applyFont="1" applyBorder="1" applyAlignment="1"/>
    <xf numFmtId="0" fontId="18" fillId="0" borderId="17" xfId="0" applyFont="1" applyBorder="1" applyAlignment="1">
      <alignment horizontal="right" wrapText="1"/>
    </xf>
    <xf numFmtId="9" fontId="0" fillId="0" borderId="17" xfId="1" applyFont="1" applyBorder="1"/>
    <xf numFmtId="9" fontId="0" fillId="0" borderId="17" xfId="1" applyFont="1" applyBorder="1" applyAlignment="1">
      <alignment horizontal="right"/>
    </xf>
    <xf numFmtId="0" fontId="11" fillId="0" borderId="17" xfId="0" applyFont="1" applyBorder="1" applyAlignment="1">
      <alignment horizontal="right"/>
    </xf>
    <xf numFmtId="10" fontId="4" fillId="0" borderId="17" xfId="1" applyNumberFormat="1" applyFont="1" applyBorder="1"/>
    <xf numFmtId="0" fontId="5" fillId="0" borderId="17" xfId="0" applyFont="1" applyBorder="1" applyAlignment="1">
      <alignment horizontal="center"/>
    </xf>
    <xf numFmtId="0" fontId="5" fillId="0" borderId="17" xfId="0" applyFont="1" applyBorder="1" applyAlignment="1">
      <alignment horizontal="right" wrapText="1"/>
    </xf>
    <xf numFmtId="0" fontId="4" fillId="0" borderId="17" xfId="0" applyFont="1" applyBorder="1" applyAlignment="1">
      <alignment horizontal="right" wrapText="1"/>
    </xf>
    <xf numFmtId="0" fontId="5" fillId="0" borderId="17" xfId="0" applyFont="1" applyBorder="1" applyAlignment="1">
      <alignment wrapText="1"/>
    </xf>
    <xf numFmtId="0" fontId="0" fillId="0" borderId="17" xfId="0" applyBorder="1" applyAlignment="1">
      <alignment wrapText="1"/>
    </xf>
    <xf numFmtId="0" fontId="5" fillId="0" borderId="17" xfId="0" applyFont="1" applyBorder="1"/>
    <xf numFmtId="0" fontId="6" fillId="0" borderId="17" xfId="0" applyFont="1" applyBorder="1"/>
    <xf numFmtId="0" fontId="8" fillId="0" borderId="17" xfId="0" applyFont="1" applyBorder="1" applyAlignment="1">
      <alignment horizontal="left"/>
    </xf>
    <xf numFmtId="9" fontId="0" fillId="0" borderId="17" xfId="0" applyNumberFormat="1" applyBorder="1"/>
    <xf numFmtId="0" fontId="5" fillId="3" borderId="17" xfId="0" applyFont="1" applyFill="1" applyBorder="1" applyAlignment="1">
      <alignment horizontal="right"/>
    </xf>
    <xf numFmtId="0" fontId="4" fillId="3" borderId="17" xfId="0" applyFont="1" applyFill="1" applyBorder="1" applyAlignment="1">
      <alignment horizontal="right"/>
    </xf>
    <xf numFmtId="0" fontId="0" fillId="3" borderId="17" xfId="0" applyFill="1" applyBorder="1"/>
    <xf numFmtId="9" fontId="0" fillId="3" borderId="17" xfId="1" applyFont="1" applyFill="1" applyBorder="1"/>
    <xf numFmtId="0" fontId="4" fillId="0" borderId="17" xfId="0" applyFont="1" applyBorder="1" applyAlignment="1">
      <alignment horizontal="left"/>
    </xf>
    <xf numFmtId="9" fontId="0" fillId="0" borderId="17" xfId="1" applyFont="1" applyFill="1" applyBorder="1"/>
    <xf numFmtId="0" fontId="0" fillId="0" borderId="17" xfId="0" applyBorder="1" applyAlignment="1">
      <alignment horizontal="right"/>
    </xf>
    <xf numFmtId="9" fontId="5" fillId="0" borderId="17" xfId="1" applyFont="1" applyBorder="1" applyAlignment="1">
      <alignment horizontal="right"/>
    </xf>
    <xf numFmtId="16" fontId="5" fillId="0" borderId="17" xfId="0" applyNumberFormat="1" applyFont="1" applyBorder="1"/>
    <xf numFmtId="9" fontId="4" fillId="0" borderId="17" xfId="1" applyFont="1" applyFill="1" applyBorder="1"/>
    <xf numFmtId="9" fontId="1" fillId="0" borderId="17" xfId="1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5" fillId="0" borderId="17" xfId="0" applyFont="1" applyBorder="1" applyAlignment="1">
      <alignment horizontal="center" wrapText="1"/>
    </xf>
    <xf numFmtId="9" fontId="5" fillId="0" borderId="17" xfId="1" applyFont="1" applyBorder="1" applyAlignment="1">
      <alignment horizontal="center" wrapText="1"/>
    </xf>
    <xf numFmtId="10" fontId="4" fillId="0" borderId="17" xfId="0" applyNumberFormat="1" applyFont="1" applyBorder="1" applyAlignment="1">
      <alignment horizontal="right"/>
    </xf>
    <xf numFmtId="10" fontId="4" fillId="0" borderId="17" xfId="0" applyNumberFormat="1" applyFont="1" applyBorder="1"/>
    <xf numFmtId="0" fontId="18" fillId="0" borderId="17" xfId="0" applyFont="1" applyBorder="1" applyAlignment="1">
      <alignment horizontal="center" wrapText="1"/>
    </xf>
    <xf numFmtId="9" fontId="18" fillId="0" borderId="17" xfId="1" applyFont="1" applyFill="1" applyBorder="1" applyAlignment="1">
      <alignment horizontal="center" wrapText="1"/>
    </xf>
    <xf numFmtId="0" fontId="5" fillId="0" borderId="17" xfId="0" applyFont="1" applyBorder="1" applyAlignment="1">
      <alignment horizontal="center" vertical="center"/>
    </xf>
    <xf numFmtId="0" fontId="4" fillId="0" borderId="17" xfId="0" applyFont="1" applyBorder="1" applyAlignment="1">
      <alignment horizontal="left" vertical="center" wrapText="1"/>
    </xf>
    <xf numFmtId="0" fontId="5" fillId="0" borderId="19" xfId="0" applyFont="1" applyBorder="1" applyAlignment="1">
      <alignment horizontal="right"/>
    </xf>
    <xf numFmtId="0" fontId="0" fillId="0" borderId="19" xfId="0" applyBorder="1"/>
    <xf numFmtId="0" fontId="4" fillId="0" borderId="19" xfId="0" applyFont="1" applyBorder="1" applyAlignment="1">
      <alignment horizontal="right"/>
    </xf>
    <xf numFmtId="9" fontId="4" fillId="0" borderId="19" xfId="1" applyFont="1" applyBorder="1"/>
    <xf numFmtId="0" fontId="5" fillId="0" borderId="18" xfId="0" applyFont="1" applyBorder="1" applyAlignment="1">
      <alignment horizontal="right"/>
    </xf>
    <xf numFmtId="0" fontId="0" fillId="0" borderId="18" xfId="0" applyBorder="1"/>
    <xf numFmtId="0" fontId="4" fillId="0" borderId="18" xfId="0" applyFont="1" applyBorder="1" applyAlignment="1">
      <alignment horizontal="right"/>
    </xf>
    <xf numFmtId="9" fontId="4" fillId="0" borderId="18" xfId="1" applyFont="1" applyBorder="1"/>
    <xf numFmtId="0" fontId="5" fillId="7" borderId="17" xfId="0" applyFont="1" applyFill="1" applyBorder="1" applyAlignment="1">
      <alignment horizontal="right"/>
    </xf>
    <xf numFmtId="0" fontId="4" fillId="7" borderId="17" xfId="0" applyFont="1" applyFill="1" applyBorder="1"/>
    <xf numFmtId="9" fontId="4" fillId="0" borderId="0" xfId="1" applyFont="1" applyFill="1" applyBorder="1"/>
    <xf numFmtId="9" fontId="4" fillId="0" borderId="0" xfId="1" applyFont="1" applyBorder="1" applyAlignment="1"/>
    <xf numFmtId="9" fontId="18" fillId="0" borderId="0" xfId="1" applyFont="1" applyFill="1" applyBorder="1" applyAlignment="1">
      <alignment horizontal="center" wrapText="1"/>
    </xf>
    <xf numFmtId="9" fontId="4" fillId="0" borderId="0" xfId="1" applyFont="1" applyBorder="1" applyAlignment="1">
      <alignment horizontal="right"/>
    </xf>
    <xf numFmtId="9" fontId="0" fillId="0" borderId="0" xfId="1" applyFont="1" applyBorder="1"/>
    <xf numFmtId="9" fontId="0" fillId="0" borderId="0" xfId="1" applyFont="1" applyBorder="1" applyAlignment="1">
      <alignment horizontal="right"/>
    </xf>
    <xf numFmtId="10" fontId="4" fillId="0" borderId="0" xfId="1" applyNumberFormat="1" applyFont="1" applyBorder="1"/>
    <xf numFmtId="0" fontId="4" fillId="0" borderId="35" xfId="0" applyFont="1" applyBorder="1" applyAlignment="1">
      <alignment horizontal="center"/>
    </xf>
    <xf numFmtId="0" fontId="4" fillId="0" borderId="35" xfId="0" applyFont="1" applyBorder="1" applyAlignment="1">
      <alignment horizontal="right"/>
    </xf>
    <xf numFmtId="0" fontId="4" fillId="0" borderId="35" xfId="0" applyFont="1" applyBorder="1"/>
    <xf numFmtId="0" fontId="0" fillId="0" borderId="35" xfId="0" applyBorder="1"/>
    <xf numFmtId="9" fontId="0" fillId="0" borderId="0" xfId="1" applyFont="1" applyFill="1" applyBorder="1"/>
    <xf numFmtId="0" fontId="5" fillId="0" borderId="35" xfId="0" applyFont="1" applyBorder="1" applyAlignment="1">
      <alignment horizontal="right"/>
    </xf>
    <xf numFmtId="0" fontId="0" fillId="0" borderId="35" xfId="0" applyBorder="1" applyAlignment="1">
      <alignment horizontal="right" vertical="center"/>
    </xf>
    <xf numFmtId="9" fontId="0" fillId="0" borderId="0" xfId="1" applyFont="1" applyBorder="1" applyAlignment="1">
      <alignment horizontal="right" vertical="center"/>
    </xf>
    <xf numFmtId="0" fontId="4" fillId="0" borderId="35" xfId="0" applyFont="1" applyBorder="1" applyAlignment="1">
      <alignment horizontal="right" vertical="center"/>
    </xf>
    <xf numFmtId="9" fontId="5" fillId="0" borderId="0" xfId="1" applyFont="1" applyFill="1" applyBorder="1" applyAlignment="1">
      <alignment horizontal="center" wrapText="1"/>
    </xf>
    <xf numFmtId="0" fontId="5" fillId="0" borderId="0" xfId="0" applyFont="1" applyAlignment="1">
      <alignment horizontal="center"/>
    </xf>
    <xf numFmtId="0" fontId="0" fillId="0" borderId="0" xfId="0" applyAlignment="1">
      <alignment horizontal="right" vertical="center"/>
    </xf>
    <xf numFmtId="0" fontId="4" fillId="0" borderId="34" xfId="0" applyFont="1" applyBorder="1"/>
    <xf numFmtId="0" fontId="4" fillId="0" borderId="33" xfId="0" applyFont="1" applyBorder="1"/>
    <xf numFmtId="9" fontId="4" fillId="0" borderId="33" xfId="1" applyFont="1" applyFill="1" applyBorder="1"/>
    <xf numFmtId="0" fontId="19" fillId="0" borderId="35" xfId="0" applyFont="1" applyBorder="1" applyAlignment="1">
      <alignment vertical="center"/>
    </xf>
    <xf numFmtId="0" fontId="19" fillId="0" borderId="0" xfId="0" applyFont="1" applyAlignment="1">
      <alignment vertical="center"/>
    </xf>
    <xf numFmtId="0" fontId="18" fillId="0" borderId="0" xfId="0" applyFont="1" applyAlignment="1">
      <alignment horizontal="center" wrapText="1"/>
    </xf>
    <xf numFmtId="0" fontId="5" fillId="0" borderId="35" xfId="0" applyFont="1" applyBorder="1"/>
    <xf numFmtId="0" fontId="5" fillId="0" borderId="0" xfId="0" applyFont="1"/>
    <xf numFmtId="0" fontId="5" fillId="0" borderId="35" xfId="0" applyFont="1" applyBorder="1" applyAlignment="1">
      <alignment horizontal="center"/>
    </xf>
    <xf numFmtId="0" fontId="5" fillId="0" borderId="35" xfId="0" applyFont="1" applyBorder="1" applyAlignment="1">
      <alignment wrapText="1"/>
    </xf>
    <xf numFmtId="0" fontId="5" fillId="0" borderId="0" xfId="0" applyFont="1" applyAlignment="1">
      <alignment wrapText="1"/>
    </xf>
    <xf numFmtId="0" fontId="4" fillId="0" borderId="0" xfId="0" applyFont="1" applyAlignment="1">
      <alignment horizontal="right" vertical="center"/>
    </xf>
    <xf numFmtId="0" fontId="20" fillId="9" borderId="29" xfId="0" applyFont="1" applyFill="1" applyBorder="1"/>
    <xf numFmtId="0" fontId="19" fillId="9" borderId="23" xfId="0" applyFont="1" applyFill="1" applyBorder="1" applyAlignment="1">
      <alignment horizontal="center" wrapText="1"/>
    </xf>
    <xf numFmtId="0" fontId="19" fillId="9" borderId="23" xfId="0" applyFont="1" applyFill="1" applyBorder="1" applyAlignment="1">
      <alignment horizontal="center"/>
    </xf>
    <xf numFmtId="9" fontId="19" fillId="9" borderId="23" xfId="1" applyFont="1" applyFill="1" applyBorder="1" applyAlignment="1">
      <alignment horizontal="center" wrapText="1"/>
    </xf>
    <xf numFmtId="0" fontId="19" fillId="9" borderId="24" xfId="0" applyFont="1" applyFill="1" applyBorder="1" applyAlignment="1">
      <alignment horizontal="center" vertical="center"/>
    </xf>
    <xf numFmtId="0" fontId="20" fillId="9" borderId="25" xfId="0" applyFont="1" applyFill="1" applyBorder="1" applyAlignment="1">
      <alignment horizontal="center" vertical="center" wrapText="1"/>
    </xf>
    <xf numFmtId="0" fontId="0" fillId="9" borderId="20" xfId="0" applyFill="1" applyBorder="1" applyAlignment="1">
      <alignment horizontal="right" vertical="center"/>
    </xf>
    <xf numFmtId="0" fontId="4" fillId="9" borderId="20" xfId="0" applyFont="1" applyFill="1" applyBorder="1" applyAlignment="1">
      <alignment horizontal="right" vertical="center"/>
    </xf>
    <xf numFmtId="0" fontId="21" fillId="9" borderId="17" xfId="0" applyFont="1" applyFill="1" applyBorder="1" applyAlignment="1">
      <alignment horizontal="center" wrapText="1"/>
    </xf>
    <xf numFmtId="0" fontId="21" fillId="9" borderId="17" xfId="0" applyFont="1" applyFill="1" applyBorder="1" applyAlignment="1">
      <alignment horizontal="center"/>
    </xf>
    <xf numFmtId="0" fontId="21" fillId="9" borderId="20" xfId="0" applyFont="1" applyFill="1" applyBorder="1" applyAlignment="1">
      <alignment horizontal="center"/>
    </xf>
    <xf numFmtId="9" fontId="21" fillId="9" borderId="20" xfId="1" applyFont="1" applyFill="1" applyBorder="1"/>
    <xf numFmtId="0" fontId="9" fillId="7" borderId="17" xfId="0" applyFont="1" applyFill="1" applyBorder="1" applyAlignment="1">
      <alignment horizontal="right" wrapText="1"/>
    </xf>
    <xf numFmtId="0" fontId="9" fillId="7" borderId="17" xfId="0" applyFont="1" applyFill="1" applyBorder="1" applyAlignment="1">
      <alignment wrapText="1"/>
    </xf>
    <xf numFmtId="9" fontId="10" fillId="7" borderId="20" xfId="1" applyFont="1" applyFill="1" applyBorder="1" applyAlignment="1">
      <alignment wrapText="1"/>
    </xf>
    <xf numFmtId="0" fontId="0" fillId="7" borderId="17" xfId="0" applyFill="1" applyBorder="1"/>
    <xf numFmtId="0" fontId="4" fillId="7" borderId="17" xfId="0" applyFont="1" applyFill="1" applyBorder="1" applyAlignment="1">
      <alignment horizontal="left" vertical="center" wrapText="1"/>
    </xf>
    <xf numFmtId="0" fontId="4" fillId="7" borderId="17" xfId="0" applyFont="1" applyFill="1" applyBorder="1" applyAlignment="1">
      <alignment horizontal="center" vertical="center"/>
    </xf>
    <xf numFmtId="0" fontId="5" fillId="7" borderId="20" xfId="0" applyFont="1" applyFill="1" applyBorder="1" applyAlignment="1">
      <alignment horizontal="center" vertical="center" wrapText="1"/>
    </xf>
    <xf numFmtId="0" fontId="8" fillId="7" borderId="17" xfId="0" applyFont="1" applyFill="1" applyBorder="1" applyAlignment="1">
      <alignment horizontal="right"/>
    </xf>
    <xf numFmtId="0" fontId="4" fillId="7" borderId="17" xfId="0" applyFont="1" applyFill="1" applyBorder="1" applyAlignment="1">
      <alignment horizontal="right"/>
    </xf>
    <xf numFmtId="0" fontId="4" fillId="7" borderId="20" xfId="0" applyFont="1" applyFill="1" applyBorder="1" applyAlignment="1">
      <alignment horizontal="center"/>
    </xf>
    <xf numFmtId="0" fontId="0" fillId="7" borderId="20" xfId="0" applyFill="1" applyBorder="1"/>
    <xf numFmtId="0" fontId="4" fillId="7" borderId="20" xfId="0" applyFont="1" applyFill="1" applyBorder="1"/>
    <xf numFmtId="0" fontId="5" fillId="7" borderId="19" xfId="0" applyFont="1" applyFill="1" applyBorder="1" applyAlignment="1">
      <alignment horizontal="right"/>
    </xf>
    <xf numFmtId="0" fontId="4" fillId="7" borderId="25" xfId="0" applyFont="1" applyFill="1" applyBorder="1" applyAlignment="1">
      <alignment horizontal="right"/>
    </xf>
    <xf numFmtId="0" fontId="4" fillId="7" borderId="24" xfId="0" applyFont="1" applyFill="1" applyBorder="1"/>
    <xf numFmtId="9" fontId="4" fillId="7" borderId="25" xfId="1" applyFont="1" applyFill="1" applyBorder="1"/>
    <xf numFmtId="0" fontId="0" fillId="7" borderId="17" xfId="0" applyFill="1" applyBorder="1" applyAlignment="1">
      <alignment horizontal="right"/>
    </xf>
    <xf numFmtId="0" fontId="4" fillId="7" borderId="17" xfId="0" applyFont="1" applyFill="1" applyBorder="1" applyAlignment="1">
      <alignment horizontal="right" wrapText="1"/>
    </xf>
    <xf numFmtId="0" fontId="4" fillId="7" borderId="17" xfId="0" applyFont="1" applyFill="1" applyBorder="1" applyAlignment="1">
      <alignment horizontal="right" vertical="center"/>
    </xf>
    <xf numFmtId="0" fontId="4" fillId="7" borderId="17" xfId="0" applyFont="1" applyFill="1" applyBorder="1" applyAlignment="1">
      <alignment horizontal="right" vertical="center" wrapText="1"/>
    </xf>
    <xf numFmtId="0" fontId="4" fillId="7" borderId="17" xfId="1" applyNumberFormat="1" applyFont="1" applyFill="1" applyBorder="1" applyAlignment="1">
      <alignment horizontal="right" wrapText="1"/>
    </xf>
    <xf numFmtId="0" fontId="18" fillId="7" borderId="17" xfId="0" applyFont="1" applyFill="1" applyBorder="1" applyAlignment="1">
      <alignment horizontal="center" vertical="center" wrapText="1"/>
    </xf>
    <xf numFmtId="9" fontId="18" fillId="7" borderId="20" xfId="1" applyFont="1" applyFill="1" applyBorder="1" applyAlignment="1">
      <alignment horizontal="center" vertical="center" wrapText="1"/>
    </xf>
    <xf numFmtId="0" fontId="9" fillId="7" borderId="17" xfId="0" applyFont="1" applyFill="1" applyBorder="1" applyAlignment="1">
      <alignment horizontal="center" wrapText="1"/>
    </xf>
    <xf numFmtId="0" fontId="9" fillId="7" borderId="17" xfId="1" applyNumberFormat="1" applyFont="1" applyFill="1" applyBorder="1" applyAlignment="1">
      <alignment horizontal="center" wrapText="1"/>
    </xf>
    <xf numFmtId="0" fontId="9" fillId="7" borderId="17" xfId="1" applyNumberFormat="1" applyFont="1" applyFill="1" applyBorder="1" applyAlignment="1">
      <alignment wrapText="1"/>
    </xf>
    <xf numFmtId="0" fontId="5" fillId="7" borderId="34" xfId="0" applyFont="1" applyFill="1" applyBorder="1" applyAlignment="1">
      <alignment horizontal="right"/>
    </xf>
    <xf numFmtId="0" fontId="4" fillId="7" borderId="23" xfId="0" applyFont="1" applyFill="1" applyBorder="1" applyAlignment="1">
      <alignment horizontal="center" wrapText="1"/>
    </xf>
    <xf numFmtId="0" fontId="4" fillId="7" borderId="23" xfId="0" applyFont="1" applyFill="1" applyBorder="1" applyAlignment="1">
      <alignment horizontal="center"/>
    </xf>
    <xf numFmtId="0" fontId="5" fillId="0" borderId="0" xfId="0" applyFont="1" applyAlignment="1">
      <alignment horizontal="center" wrapText="1"/>
    </xf>
    <xf numFmtId="0" fontId="21" fillId="9" borderId="24" xfId="0" applyFont="1" applyFill="1" applyBorder="1" applyAlignment="1">
      <alignment horizontal="center" wrapText="1"/>
    </xf>
    <xf numFmtId="0" fontId="21" fillId="9" borderId="25" xfId="0" applyFont="1" applyFill="1" applyBorder="1" applyAlignment="1">
      <alignment horizontal="center" wrapText="1"/>
    </xf>
    <xf numFmtId="0" fontId="21" fillId="9" borderId="36" xfId="0" applyFont="1" applyFill="1" applyBorder="1" applyAlignment="1">
      <alignment horizontal="center"/>
    </xf>
    <xf numFmtId="0" fontId="21" fillId="9" borderId="27" xfId="0" applyFont="1" applyFill="1" applyBorder="1" applyAlignment="1">
      <alignment horizontal="center"/>
    </xf>
    <xf numFmtId="0" fontId="21" fillId="0" borderId="35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1" fillId="9" borderId="20" xfId="0" applyFont="1" applyFill="1" applyBorder="1" applyAlignment="1">
      <alignment horizontal="right" vertical="center"/>
    </xf>
    <xf numFmtId="0" fontId="21" fillId="9" borderId="22" xfId="0" applyFont="1" applyFill="1" applyBorder="1" applyAlignment="1">
      <alignment horizontal="right" vertical="center"/>
    </xf>
    <xf numFmtId="0" fontId="19" fillId="8" borderId="35" xfId="0" applyFont="1" applyFill="1" applyBorder="1" applyAlignment="1">
      <alignment horizontal="center" vertical="center"/>
    </xf>
    <xf numFmtId="0" fontId="19" fillId="8" borderId="0" xfId="0" applyFont="1" applyFill="1" applyAlignment="1">
      <alignment horizontal="center" vertical="center"/>
    </xf>
    <xf numFmtId="0" fontId="21" fillId="9" borderId="34" xfId="0" applyFont="1" applyFill="1" applyBorder="1" applyAlignment="1">
      <alignment horizontal="center" vertical="center" wrapText="1"/>
    </xf>
    <xf numFmtId="0" fontId="21" fillId="9" borderId="33" xfId="0" applyFont="1" applyFill="1" applyBorder="1" applyAlignment="1">
      <alignment horizontal="center" vertical="center" wrapText="1"/>
    </xf>
    <xf numFmtId="0" fontId="19" fillId="8" borderId="24" xfId="0" applyFont="1" applyFill="1" applyBorder="1" applyAlignment="1">
      <alignment horizontal="center" vertical="center"/>
    </xf>
    <xf numFmtId="0" fontId="19" fillId="8" borderId="25" xfId="0" applyFont="1" applyFill="1" applyBorder="1" applyAlignment="1">
      <alignment horizontal="center" vertical="center"/>
    </xf>
    <xf numFmtId="0" fontId="4" fillId="10" borderId="20" xfId="0" applyFont="1" applyFill="1" applyBorder="1" applyAlignment="1">
      <alignment horizontal="center"/>
    </xf>
    <xf numFmtId="0" fontId="4" fillId="10" borderId="21" xfId="0" applyFont="1" applyFill="1" applyBorder="1" applyAlignment="1">
      <alignment horizontal="center"/>
    </xf>
    <xf numFmtId="0" fontId="4" fillId="10" borderId="22" xfId="0" applyFont="1" applyFill="1" applyBorder="1" applyAlignment="1">
      <alignment horizontal="center"/>
    </xf>
    <xf numFmtId="0" fontId="5" fillId="10" borderId="20" xfId="0" applyFont="1" applyFill="1" applyBorder="1" applyAlignment="1">
      <alignment horizontal="center"/>
    </xf>
    <xf numFmtId="0" fontId="5" fillId="10" borderId="21" xfId="0" applyFont="1" applyFill="1" applyBorder="1" applyAlignment="1">
      <alignment horizontal="center"/>
    </xf>
    <xf numFmtId="0" fontId="5" fillId="10" borderId="22" xfId="0" applyFont="1" applyFill="1" applyBorder="1" applyAlignment="1">
      <alignment horizontal="center"/>
    </xf>
    <xf numFmtId="0" fontId="0" fillId="10" borderId="20" xfId="0" applyFill="1" applyBorder="1" applyAlignment="1">
      <alignment horizontal="center"/>
    </xf>
    <xf numFmtId="0" fontId="0" fillId="10" borderId="21" xfId="0" applyFill="1" applyBorder="1" applyAlignment="1">
      <alignment horizontal="center"/>
    </xf>
    <xf numFmtId="0" fontId="0" fillId="10" borderId="22" xfId="0" applyFill="1" applyBorder="1" applyAlignment="1">
      <alignment horizontal="center"/>
    </xf>
    <xf numFmtId="0" fontId="3" fillId="0" borderId="30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19" fillId="8" borderId="26" xfId="0" applyFont="1" applyFill="1" applyBorder="1" applyAlignment="1">
      <alignment horizontal="center" vertical="center"/>
    </xf>
    <xf numFmtId="0" fontId="19" fillId="8" borderId="27" xfId="0" applyFont="1" applyFill="1" applyBorder="1" applyAlignment="1">
      <alignment horizontal="center" vertical="center"/>
    </xf>
    <xf numFmtId="0" fontId="19" fillId="8" borderId="28" xfId="0" applyFont="1" applyFill="1" applyBorder="1" applyAlignment="1">
      <alignment horizontal="center" vertical="center"/>
    </xf>
    <xf numFmtId="0" fontId="19" fillId="8" borderId="20" xfId="0" applyFont="1" applyFill="1" applyBorder="1" applyAlignment="1">
      <alignment horizontal="center" vertical="center"/>
    </xf>
    <xf numFmtId="0" fontId="19" fillId="8" borderId="21" xfId="0" applyFont="1" applyFill="1" applyBorder="1" applyAlignment="1">
      <alignment horizontal="center" vertical="center"/>
    </xf>
    <xf numFmtId="0" fontId="21" fillId="9" borderId="21" xfId="0" applyFont="1" applyFill="1" applyBorder="1" applyAlignment="1">
      <alignment horizontal="center" vertical="center" wrapText="1"/>
    </xf>
    <xf numFmtId="0" fontId="21" fillId="9" borderId="0" xfId="0" applyFont="1" applyFill="1" applyAlignment="1">
      <alignment horizontal="center" vertical="center" wrapText="1"/>
    </xf>
    <xf numFmtId="0" fontId="4" fillId="0" borderId="17" xfId="0" applyFont="1" applyBorder="1" applyAlignment="1">
      <alignment horizontal="left"/>
    </xf>
    <xf numFmtId="0" fontId="4" fillId="0" borderId="17" xfId="0" applyFont="1" applyBorder="1" applyAlignment="1">
      <alignment horizontal="center" wrapText="1"/>
    </xf>
    <xf numFmtId="0" fontId="4" fillId="0" borderId="17" xfId="0" applyFont="1" applyBorder="1" applyAlignment="1">
      <alignment horizontal="center"/>
    </xf>
    <xf numFmtId="0" fontId="3" fillId="0" borderId="17" xfId="0" applyFont="1" applyBorder="1" applyAlignment="1">
      <alignment horizontal="center" vertical="top" wrapText="1"/>
    </xf>
    <xf numFmtId="0" fontId="5" fillId="0" borderId="17" xfId="0" applyFont="1" applyBorder="1" applyAlignment="1">
      <alignment horizontal="center"/>
    </xf>
    <xf numFmtId="0" fontId="4" fillId="3" borderId="17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0" borderId="3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9" xfId="0" applyFont="1" applyBorder="1" applyAlignment="1">
      <alignment horizontal="left"/>
    </xf>
    <xf numFmtId="0" fontId="4" fillId="0" borderId="10" xfId="0" applyFont="1" applyBorder="1" applyAlignment="1">
      <alignment horizontal="left"/>
    </xf>
    <xf numFmtId="0" fontId="4" fillId="0" borderId="4" xfId="0" applyFont="1" applyBorder="1" applyAlignment="1">
      <alignment horizontal="center" wrapText="1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3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 vertical="top"/>
    </xf>
    <xf numFmtId="0" fontId="4" fillId="0" borderId="1" xfId="0" applyFont="1" applyBorder="1" applyAlignment="1">
      <alignment horizontal="left"/>
    </xf>
    <xf numFmtId="0" fontId="11" fillId="0" borderId="0" xfId="0" applyFont="1" applyAlignment="1">
      <alignment horizontal="left"/>
    </xf>
    <xf numFmtId="0" fontId="11" fillId="6" borderId="0" xfId="0" applyFont="1" applyFill="1" applyAlignment="1">
      <alignment horizontal="left"/>
    </xf>
    <xf numFmtId="0" fontId="3" fillId="4" borderId="14" xfId="0" applyFont="1" applyFill="1" applyBorder="1" applyAlignment="1">
      <alignment horizontal="center"/>
    </xf>
    <xf numFmtId="0" fontId="3" fillId="4" borderId="15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0" fontId="4" fillId="0" borderId="0" xfId="0" applyFont="1" applyAlignment="1">
      <alignment horizontal="left"/>
    </xf>
    <xf numFmtId="0" fontId="4" fillId="7" borderId="20" xfId="1" applyNumberFormat="1" applyFont="1" applyFill="1" applyBorder="1" applyAlignment="1">
      <alignment horizontal="right"/>
    </xf>
    <xf numFmtId="0" fontId="4" fillId="7" borderId="23" xfId="1" applyNumberFormat="1" applyFont="1" applyFill="1" applyBorder="1" applyAlignment="1">
      <alignment horizontal="right"/>
    </xf>
  </cellXfs>
  <cellStyles count="3">
    <cellStyle name="Normal" xfId="0" builtinId="0"/>
    <cellStyle name="Normal 2" xfId="2" xr:uid="{35754141-98DA-410A-A52D-A1E4198EA212}"/>
    <cellStyle name="Percent" xfId="1" builtinId="5"/>
  </cellStyles>
  <dxfs count="0"/>
  <tableStyles count="0" defaultTableStyle="TableStyleMedium2" defaultPivotStyle="PivotStyleLight16"/>
  <colors>
    <mruColors>
      <color rgb="FFD7D7D7"/>
      <color rgb="FF333F50"/>
      <color rgb="FF222B36"/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183BA-844E-4562-BD06-98843B7D25C9}">
  <sheetPr>
    <tabColor theme="7" tint="0.39997558519241921"/>
    <pageSetUpPr fitToPage="1"/>
  </sheetPr>
  <dimension ref="A1:L58"/>
  <sheetViews>
    <sheetView tabSelected="1" topLeftCell="A28" zoomScaleNormal="100" workbookViewId="0">
      <selection activeCell="D52" sqref="D52"/>
    </sheetView>
  </sheetViews>
  <sheetFormatPr defaultColWidth="8.81640625" defaultRowHeight="24.75" customHeight="1" x14ac:dyDescent="0.35"/>
  <cols>
    <col min="1" max="1" width="54.453125" customWidth="1"/>
    <col min="2" max="5" width="12.81640625" customWidth="1"/>
    <col min="6" max="6" width="12.81640625" style="202" customWidth="1"/>
  </cols>
  <sheetData>
    <row r="1" spans="1:6" ht="61.5" customHeight="1" thickBot="1" x14ac:dyDescent="0.4">
      <c r="A1" s="294" t="s">
        <v>325</v>
      </c>
      <c r="B1" s="295"/>
      <c r="C1" s="295"/>
      <c r="D1" s="295"/>
      <c r="E1" s="295"/>
      <c r="F1" s="296"/>
    </row>
    <row r="2" spans="1:6" ht="29.25" customHeight="1" x14ac:dyDescent="0.35">
      <c r="A2" s="297" t="s">
        <v>290</v>
      </c>
      <c r="B2" s="298"/>
      <c r="C2" s="298"/>
      <c r="D2" s="298"/>
      <c r="E2" s="298"/>
      <c r="F2" s="299"/>
    </row>
    <row r="3" spans="1:6" ht="45.75" customHeight="1" x14ac:dyDescent="0.35">
      <c r="A3" s="229" t="s">
        <v>318</v>
      </c>
      <c r="B3" s="230"/>
      <c r="C3" s="231"/>
      <c r="D3" s="231"/>
      <c r="E3" s="230"/>
      <c r="F3" s="232"/>
    </row>
    <row r="4" spans="1:6" ht="24" customHeight="1" x14ac:dyDescent="0.35">
      <c r="A4" s="197"/>
      <c r="B4" s="258"/>
      <c r="C4" s="249"/>
      <c r="D4" s="249"/>
      <c r="E4" s="258"/>
      <c r="F4" s="261"/>
    </row>
    <row r="5" spans="1:6" ht="24.75" customHeight="1" x14ac:dyDescent="0.35">
      <c r="A5" s="285"/>
      <c r="B5" s="286"/>
      <c r="C5" s="286"/>
      <c r="D5" s="217"/>
      <c r="E5" s="218"/>
      <c r="F5" s="219"/>
    </row>
    <row r="6" spans="1:6" ht="29.25" customHeight="1" x14ac:dyDescent="0.35">
      <c r="A6" s="283" t="s">
        <v>31</v>
      </c>
      <c r="B6" s="284"/>
      <c r="C6" s="284"/>
      <c r="D6" s="220"/>
      <c r="E6" s="221"/>
      <c r="F6" s="221"/>
    </row>
    <row r="7" spans="1:6" ht="25" customHeight="1" x14ac:dyDescent="0.35">
      <c r="A7" s="281" t="s">
        <v>291</v>
      </c>
      <c r="B7" s="282"/>
      <c r="C7" s="282"/>
      <c r="D7" s="275"/>
      <c r="E7" s="276"/>
      <c r="F7" s="276"/>
    </row>
    <row r="8" spans="1:6" ht="25" customHeight="1" x14ac:dyDescent="0.35">
      <c r="A8" s="241" t="s">
        <v>292</v>
      </c>
      <c r="B8" s="241" t="s">
        <v>303</v>
      </c>
      <c r="C8" s="243"/>
      <c r="D8" s="208"/>
      <c r="E8" s="222"/>
      <c r="F8" s="200"/>
    </row>
    <row r="9" spans="1:6" ht="25" customHeight="1" x14ac:dyDescent="0.35">
      <c r="A9" s="241" t="s">
        <v>293</v>
      </c>
      <c r="B9" s="241" t="s">
        <v>304</v>
      </c>
      <c r="C9" s="243"/>
      <c r="D9" s="210"/>
      <c r="E9" s="18"/>
      <c r="F9" s="18"/>
    </row>
    <row r="10" spans="1:6" ht="25" customHeight="1" x14ac:dyDescent="0.35">
      <c r="A10" s="241" t="s">
        <v>294</v>
      </c>
      <c r="B10" s="241" t="s">
        <v>305</v>
      </c>
      <c r="C10" s="243"/>
      <c r="D10" s="210"/>
      <c r="E10" s="18"/>
      <c r="F10" s="18"/>
    </row>
    <row r="11" spans="1:6" ht="25" customHeight="1" x14ac:dyDescent="0.35">
      <c r="A11" s="285"/>
      <c r="B11" s="286"/>
      <c r="C11" s="286"/>
      <c r="D11" s="210"/>
      <c r="E11" s="18"/>
      <c r="F11" s="18"/>
    </row>
    <row r="12" spans="1:6" ht="25" customHeight="1" x14ac:dyDescent="0.35">
      <c r="A12" s="302" t="s">
        <v>231</v>
      </c>
      <c r="B12" s="302"/>
      <c r="C12" s="302"/>
      <c r="D12" s="210"/>
      <c r="E12" s="18"/>
      <c r="F12" s="18"/>
    </row>
    <row r="13" spans="1:6" ht="27" customHeight="1" x14ac:dyDescent="0.35">
      <c r="A13" s="244" t="s">
        <v>319</v>
      </c>
      <c r="B13" s="262"/>
      <c r="C13" s="263"/>
      <c r="D13" s="208"/>
      <c r="E13" s="199"/>
      <c r="F13" s="51"/>
    </row>
    <row r="14" spans="1:6" ht="27" customHeight="1" x14ac:dyDescent="0.35">
      <c r="A14" s="257"/>
      <c r="B14" s="242"/>
      <c r="C14" s="266"/>
      <c r="D14" s="208"/>
      <c r="E14" s="199"/>
      <c r="F14" s="51"/>
    </row>
    <row r="15" spans="1:6" ht="20.149999999999999" customHeight="1" x14ac:dyDescent="0.35">
      <c r="A15" s="285"/>
      <c r="B15" s="286"/>
      <c r="C15" s="286"/>
      <c r="D15" s="223"/>
      <c r="E15" s="224"/>
      <c r="F15" s="224"/>
    </row>
    <row r="16" spans="1:6" ht="25" customHeight="1" x14ac:dyDescent="0.35">
      <c r="A16" s="281" t="s">
        <v>296</v>
      </c>
      <c r="B16" s="303"/>
      <c r="C16" s="303"/>
      <c r="D16" s="275"/>
      <c r="E16" s="276"/>
      <c r="F16" s="276"/>
    </row>
    <row r="17" spans="1:12" ht="25" customHeight="1" x14ac:dyDescent="0.35">
      <c r="A17" s="241" t="s">
        <v>295</v>
      </c>
      <c r="B17" s="241" t="s">
        <v>306</v>
      </c>
      <c r="C17" s="243"/>
      <c r="D17" s="208"/>
      <c r="E17" s="222"/>
      <c r="F17" s="200"/>
    </row>
    <row r="18" spans="1:12" ht="25" customHeight="1" x14ac:dyDescent="0.35">
      <c r="A18" s="241" t="s">
        <v>293</v>
      </c>
      <c r="B18" s="241" t="s">
        <v>307</v>
      </c>
      <c r="C18" s="243"/>
      <c r="D18" s="210"/>
      <c r="E18" s="18"/>
      <c r="F18" s="18"/>
    </row>
    <row r="19" spans="1:12" ht="25" customHeight="1" x14ac:dyDescent="0.35">
      <c r="A19" s="241" t="s">
        <v>294</v>
      </c>
      <c r="B19" s="241" t="s">
        <v>308</v>
      </c>
      <c r="C19" s="243"/>
      <c r="D19" s="210"/>
      <c r="E19" s="18"/>
      <c r="F19" s="18"/>
    </row>
    <row r="20" spans="1:12" ht="18.75" customHeight="1" x14ac:dyDescent="0.35">
      <c r="A20" s="285"/>
      <c r="B20" s="286"/>
      <c r="C20" s="286"/>
      <c r="D20" s="207"/>
      <c r="E20" s="51"/>
      <c r="F20" s="201"/>
    </row>
    <row r="21" spans="1:12" ht="24.75" customHeight="1" x14ac:dyDescent="0.35">
      <c r="A21" s="302" t="s">
        <v>298</v>
      </c>
      <c r="B21" s="302"/>
      <c r="C21" s="302"/>
      <c r="D21" s="207"/>
      <c r="E21" s="18"/>
      <c r="F21" s="18"/>
    </row>
    <row r="22" spans="1:12" ht="27.75" customHeight="1" x14ac:dyDescent="0.35">
      <c r="A22" s="244" t="s">
        <v>320</v>
      </c>
      <c r="B22" s="262"/>
      <c r="C22" s="263"/>
      <c r="D22" s="207"/>
      <c r="E22" s="204"/>
      <c r="F22" s="203"/>
    </row>
    <row r="23" spans="1:12" ht="24" customHeight="1" x14ac:dyDescent="0.35">
      <c r="A23" s="249"/>
      <c r="B23" s="264"/>
      <c r="C23" s="265"/>
      <c r="D23" s="207"/>
      <c r="E23" s="204"/>
      <c r="F23" s="203"/>
    </row>
    <row r="24" spans="1:12" ht="20.149999999999999" customHeight="1" x14ac:dyDescent="0.35">
      <c r="A24" s="285"/>
      <c r="B24" s="286"/>
      <c r="C24" s="287"/>
      <c r="D24" s="207"/>
      <c r="E24" s="204"/>
      <c r="F24" s="203"/>
      <c r="K24" s="29"/>
      <c r="L24" s="18"/>
    </row>
    <row r="25" spans="1:12" ht="24" customHeight="1" x14ac:dyDescent="0.35">
      <c r="A25" s="281" t="s">
        <v>297</v>
      </c>
      <c r="B25" s="282"/>
      <c r="C25" s="282"/>
      <c r="D25" s="223"/>
      <c r="E25" s="224"/>
      <c r="F25" s="224"/>
      <c r="K25" s="29"/>
      <c r="L25" s="18"/>
    </row>
    <row r="26" spans="1:12" ht="60" customHeight="1" x14ac:dyDescent="0.35">
      <c r="A26" s="245" t="s">
        <v>309</v>
      </c>
      <c r="B26" s="246" t="s">
        <v>310</v>
      </c>
      <c r="C26" s="247" t="s">
        <v>299</v>
      </c>
      <c r="D26" s="225"/>
      <c r="E26" s="215"/>
      <c r="F26" s="215"/>
    </row>
    <row r="27" spans="1:12" s="106" customFormat="1" ht="60" customHeight="1" x14ac:dyDescent="0.35">
      <c r="A27" s="245" t="s">
        <v>311</v>
      </c>
      <c r="B27" s="246" t="s">
        <v>312</v>
      </c>
      <c r="C27" s="247" t="s">
        <v>289</v>
      </c>
      <c r="D27" s="226"/>
      <c r="E27" s="227"/>
      <c r="F27" s="227"/>
    </row>
    <row r="28" spans="1:12" ht="31.5" customHeight="1" x14ac:dyDescent="0.35">
      <c r="A28" s="285"/>
      <c r="B28" s="286"/>
      <c r="C28" s="286"/>
      <c r="D28" s="207"/>
      <c r="E28" s="18"/>
      <c r="F28" s="18"/>
    </row>
    <row r="29" spans="1:12" ht="29.25" customHeight="1" x14ac:dyDescent="0.35">
      <c r="A29" s="283" t="s">
        <v>300</v>
      </c>
      <c r="B29" s="284"/>
      <c r="C29" s="284"/>
      <c r="D29" s="205"/>
      <c r="E29" s="37"/>
      <c r="F29" s="37"/>
    </row>
    <row r="30" spans="1:12" ht="35.25" customHeight="1" x14ac:dyDescent="0.35">
      <c r="A30" s="233" t="s">
        <v>321</v>
      </c>
      <c r="B30" s="234"/>
      <c r="C30" s="234"/>
      <c r="D30" s="205"/>
      <c r="E30" s="37"/>
      <c r="F30" s="37"/>
    </row>
    <row r="31" spans="1:12" ht="24.75" customHeight="1" x14ac:dyDescent="0.35">
      <c r="A31" s="259"/>
      <c r="B31" s="260"/>
      <c r="C31" s="260"/>
      <c r="D31" s="205"/>
      <c r="E31" s="37"/>
      <c r="F31" s="37"/>
    </row>
    <row r="32" spans="1:12" ht="24" customHeight="1" x14ac:dyDescent="0.35">
      <c r="A32" s="286"/>
      <c r="B32" s="286"/>
      <c r="C32" s="287"/>
      <c r="D32" s="207"/>
      <c r="E32" s="18"/>
      <c r="F32" s="18"/>
    </row>
    <row r="33" spans="1:6" ht="29.25" customHeight="1" x14ac:dyDescent="0.35">
      <c r="A33" s="283" t="s">
        <v>45</v>
      </c>
      <c r="B33" s="284"/>
      <c r="C33" s="284"/>
      <c r="D33" s="205"/>
      <c r="E33" s="37"/>
      <c r="F33" s="37"/>
    </row>
    <row r="34" spans="1:6" ht="25" customHeight="1" x14ac:dyDescent="0.35">
      <c r="A34" s="248" t="s">
        <v>313</v>
      </c>
      <c r="B34" s="249"/>
      <c r="C34" s="250"/>
      <c r="D34" s="205"/>
      <c r="E34" s="37"/>
      <c r="F34" s="37"/>
    </row>
    <row r="35" spans="1:6" ht="24" customHeight="1" x14ac:dyDescent="0.35">
      <c r="A35" s="288"/>
      <c r="B35" s="289"/>
      <c r="C35" s="290"/>
      <c r="D35" s="208"/>
      <c r="F35" s="209"/>
    </row>
    <row r="36" spans="1:6" ht="33" customHeight="1" x14ac:dyDescent="0.35">
      <c r="A36" s="300" t="s">
        <v>301</v>
      </c>
      <c r="B36" s="301"/>
      <c r="C36" s="301"/>
      <c r="D36" s="208"/>
    </row>
    <row r="37" spans="1:6" ht="24" customHeight="1" x14ac:dyDescent="0.35">
      <c r="A37" s="249" t="s">
        <v>314</v>
      </c>
      <c r="B37" s="257"/>
      <c r="C37" s="251"/>
      <c r="D37" s="208"/>
    </row>
    <row r="38" spans="1:6" ht="20.149999999999999" customHeight="1" x14ac:dyDescent="0.35">
      <c r="A38" s="291"/>
      <c r="B38" s="292"/>
      <c r="C38" s="293"/>
      <c r="D38" s="208"/>
      <c r="F38" s="209"/>
    </row>
    <row r="39" spans="1:6" ht="32.25" customHeight="1" x14ac:dyDescent="0.35">
      <c r="A39" s="300" t="s">
        <v>40</v>
      </c>
      <c r="B39" s="301"/>
      <c r="C39" s="301"/>
      <c r="D39" s="208"/>
      <c r="F39" s="209"/>
    </row>
    <row r="40" spans="1:6" s="216" customFormat="1" ht="25.5" customHeight="1" x14ac:dyDescent="0.35">
      <c r="A40" s="277" t="s">
        <v>74</v>
      </c>
      <c r="B40" s="278"/>
      <c r="C40" s="235"/>
      <c r="D40" s="211"/>
      <c r="F40" s="212"/>
    </row>
    <row r="41" spans="1:6" ht="24.75" customHeight="1" x14ac:dyDescent="0.35">
      <c r="A41" s="196" t="s">
        <v>315</v>
      </c>
      <c r="B41" s="244"/>
      <c r="C41" s="251"/>
      <c r="D41" s="208"/>
    </row>
    <row r="42" spans="1:6" s="216" customFormat="1" ht="25.5" customHeight="1" x14ac:dyDescent="0.35">
      <c r="A42" s="277" t="s">
        <v>75</v>
      </c>
      <c r="B42" s="278"/>
      <c r="C42" s="236"/>
      <c r="D42" s="213"/>
      <c r="E42" s="228"/>
      <c r="F42" s="228"/>
    </row>
    <row r="43" spans="1:6" ht="24.75" customHeight="1" x14ac:dyDescent="0.35">
      <c r="A43" s="196" t="s">
        <v>316</v>
      </c>
      <c r="B43" s="197"/>
      <c r="C43" s="252"/>
      <c r="D43" s="207"/>
      <c r="E43" s="18"/>
      <c r="F43" s="198"/>
    </row>
    <row r="44" spans="1:6" ht="20.149999999999999" customHeight="1" x14ac:dyDescent="0.35">
      <c r="A44" s="285"/>
      <c r="B44" s="286"/>
      <c r="C44" s="287"/>
      <c r="D44" s="207"/>
      <c r="E44" s="18"/>
      <c r="F44" s="198"/>
    </row>
    <row r="45" spans="1:6" ht="33" customHeight="1" x14ac:dyDescent="0.35">
      <c r="A45" s="279" t="s">
        <v>324</v>
      </c>
      <c r="B45" s="280"/>
      <c r="C45" s="280"/>
      <c r="D45" s="280"/>
      <c r="E45" s="207"/>
      <c r="F45" s="198"/>
    </row>
    <row r="46" spans="1:6" ht="25" customHeight="1" x14ac:dyDescent="0.35">
      <c r="A46" s="135"/>
      <c r="B46" s="271" t="s">
        <v>317</v>
      </c>
      <c r="C46" s="272"/>
      <c r="D46" s="272"/>
      <c r="E46" s="208"/>
      <c r="F46"/>
    </row>
    <row r="47" spans="1:6" ht="24.75" customHeight="1" x14ac:dyDescent="0.35">
      <c r="A47" s="197" t="s">
        <v>322</v>
      </c>
      <c r="B47" s="237" t="s">
        <v>52</v>
      </c>
      <c r="C47" s="238" t="s">
        <v>51</v>
      </c>
      <c r="D47" s="239" t="s">
        <v>302</v>
      </c>
      <c r="E47" s="205"/>
      <c r="F47" s="37"/>
    </row>
    <row r="48" spans="1:6" ht="24.75" customHeight="1" x14ac:dyDescent="0.35">
      <c r="A48" s="196"/>
      <c r="B48" s="197"/>
      <c r="C48" s="249"/>
      <c r="D48" s="337"/>
      <c r="E48" s="207"/>
      <c r="F48" s="201"/>
    </row>
    <row r="49" spans="1:10" ht="24.75" customHeight="1" thickBot="1" x14ac:dyDescent="0.4">
      <c r="A49" s="253"/>
      <c r="B49" s="255"/>
      <c r="C49" s="254"/>
      <c r="D49" s="256"/>
      <c r="E49" s="207"/>
      <c r="F49" s="201"/>
    </row>
    <row r="50" spans="1:10" ht="24.75" customHeight="1" x14ac:dyDescent="0.35">
      <c r="A50" s="253"/>
      <c r="B50" s="273" t="s">
        <v>4</v>
      </c>
      <c r="C50" s="274"/>
      <c r="D50" s="274"/>
      <c r="E50" s="206"/>
      <c r="F50" s="28"/>
      <c r="J50" s="202"/>
    </row>
    <row r="51" spans="1:10" ht="24.75" customHeight="1" x14ac:dyDescent="0.35">
      <c r="A51" s="196" t="s">
        <v>323</v>
      </c>
      <c r="B51" s="237" t="s">
        <v>52</v>
      </c>
      <c r="C51" s="238" t="s">
        <v>51</v>
      </c>
      <c r="D51" s="240" t="s">
        <v>302</v>
      </c>
      <c r="E51" s="206"/>
      <c r="F51" s="28"/>
      <c r="J51" s="202"/>
    </row>
    <row r="52" spans="1:10" ht="24.75" customHeight="1" x14ac:dyDescent="0.35">
      <c r="A52" s="267"/>
      <c r="B52" s="268"/>
      <c r="C52" s="269"/>
      <c r="D52" s="338"/>
      <c r="E52" s="206"/>
      <c r="F52" s="28"/>
      <c r="J52" s="202"/>
    </row>
    <row r="53" spans="1:10" ht="27" customHeight="1" x14ac:dyDescent="0.35">
      <c r="A53" s="218"/>
      <c r="B53" s="218"/>
      <c r="C53" s="218"/>
      <c r="D53" s="218"/>
      <c r="E53" s="18"/>
      <c r="F53" s="198"/>
    </row>
    <row r="54" spans="1:10" ht="27" customHeight="1" x14ac:dyDescent="0.35">
      <c r="A54" s="221"/>
      <c r="B54" s="221"/>
      <c r="C54" s="221"/>
      <c r="D54" s="221"/>
      <c r="E54" s="18"/>
      <c r="F54" s="198"/>
    </row>
    <row r="55" spans="1:10" ht="24" customHeight="1" x14ac:dyDescent="0.35">
      <c r="A55" s="221"/>
      <c r="B55" s="221"/>
      <c r="C55" s="221"/>
      <c r="D55" s="221"/>
      <c r="E55" s="18"/>
      <c r="F55" s="198"/>
    </row>
    <row r="56" spans="1:10" ht="24.75" customHeight="1" x14ac:dyDescent="0.35">
      <c r="A56" s="18"/>
      <c r="B56" s="122"/>
      <c r="C56" s="37"/>
      <c r="D56" s="270"/>
      <c r="E56" s="270"/>
      <c r="F56" s="214"/>
    </row>
    <row r="57" spans="1:10" ht="24.75" customHeight="1" x14ac:dyDescent="0.35">
      <c r="A57" s="18"/>
      <c r="B57" s="120"/>
      <c r="C57" s="120"/>
      <c r="F57" s="209"/>
    </row>
    <row r="58" spans="1:10" ht="24.75" customHeight="1" x14ac:dyDescent="0.35">
      <c r="B58" s="28"/>
      <c r="F58" s="209"/>
    </row>
  </sheetData>
  <mergeCells count="29">
    <mergeCell ref="A1:F1"/>
    <mergeCell ref="A2:F2"/>
    <mergeCell ref="D7:F7"/>
    <mergeCell ref="A36:C36"/>
    <mergeCell ref="A39:C39"/>
    <mergeCell ref="A5:C5"/>
    <mergeCell ref="A11:C11"/>
    <mergeCell ref="A15:C15"/>
    <mergeCell ref="A20:C20"/>
    <mergeCell ref="A24:C24"/>
    <mergeCell ref="A12:C12"/>
    <mergeCell ref="A7:C7"/>
    <mergeCell ref="A6:C6"/>
    <mergeCell ref="A16:C16"/>
    <mergeCell ref="A33:C33"/>
    <mergeCell ref="A21:C21"/>
    <mergeCell ref="B46:D46"/>
    <mergeCell ref="B50:D50"/>
    <mergeCell ref="D16:F16"/>
    <mergeCell ref="A42:B42"/>
    <mergeCell ref="A40:B40"/>
    <mergeCell ref="A45:D45"/>
    <mergeCell ref="A25:C25"/>
    <mergeCell ref="A29:C29"/>
    <mergeCell ref="A28:C28"/>
    <mergeCell ref="A32:C32"/>
    <mergeCell ref="A35:C35"/>
    <mergeCell ref="A38:C38"/>
    <mergeCell ref="A44:C44"/>
  </mergeCells>
  <pageMargins left="0.25" right="0.25" top="0.75" bottom="0.25" header="0.3" footer="0.3"/>
  <pageSetup scale="6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1BA29-B8FB-477A-B0D6-E97115BE9AC9}">
  <sheetPr>
    <tabColor theme="7" tint="0.39997558519241921"/>
    <pageSetUpPr fitToPage="1"/>
  </sheetPr>
  <dimension ref="A1:AU102"/>
  <sheetViews>
    <sheetView topLeftCell="A19" workbookViewId="0">
      <selection activeCell="A37" sqref="A37"/>
    </sheetView>
  </sheetViews>
  <sheetFormatPr defaultColWidth="8.81640625" defaultRowHeight="14.5" x14ac:dyDescent="0.35"/>
  <cols>
    <col min="1" max="1" width="56.26953125" style="127" customWidth="1"/>
    <col min="2" max="2" width="8.453125" style="127" customWidth="1"/>
    <col min="3" max="3" width="9.81640625" style="127" customWidth="1"/>
    <col min="4" max="4" width="8.81640625" style="127" customWidth="1"/>
    <col min="5" max="5" width="10.81640625" style="127" customWidth="1"/>
    <col min="6" max="6" width="10.81640625" style="155" customWidth="1"/>
    <col min="48" max="16384" width="8.81640625" style="127"/>
  </cols>
  <sheetData>
    <row r="1" spans="1:9" ht="23.15" customHeight="1" x14ac:dyDescent="0.35">
      <c r="A1" s="307" t="s">
        <v>288</v>
      </c>
      <c r="B1" s="307"/>
      <c r="C1" s="307"/>
      <c r="D1" s="307"/>
      <c r="E1" s="307"/>
      <c r="F1" s="307"/>
    </row>
    <row r="2" spans="1:9" ht="45.75" customHeight="1" x14ac:dyDescent="0.35">
      <c r="A2" s="128"/>
      <c r="B2" s="129" t="s">
        <v>3</v>
      </c>
      <c r="C2" s="129" t="s">
        <v>4</v>
      </c>
      <c r="D2" s="129" t="s">
        <v>0</v>
      </c>
      <c r="E2" s="130" t="s">
        <v>93</v>
      </c>
      <c r="F2" s="131" t="s">
        <v>94</v>
      </c>
    </row>
    <row r="3" spans="1:9" ht="32.25" customHeight="1" x14ac:dyDescent="0.35">
      <c r="A3" s="132" t="s">
        <v>32</v>
      </c>
      <c r="B3" s="133"/>
      <c r="C3" s="133"/>
      <c r="D3" s="133"/>
      <c r="E3" s="133"/>
      <c r="F3" s="134"/>
    </row>
    <row r="4" spans="1:9" ht="20.149999999999999" customHeight="1" x14ac:dyDescent="0.35">
      <c r="A4" s="135" t="s">
        <v>41</v>
      </c>
      <c r="B4" s="135">
        <v>974</v>
      </c>
      <c r="C4" s="135">
        <v>27</v>
      </c>
      <c r="D4" s="135">
        <v>1001</v>
      </c>
      <c r="E4" s="136">
        <f>B4/D4</f>
        <v>0.97302697302697305</v>
      </c>
      <c r="F4" s="137">
        <f>C4/D4</f>
        <v>2.6973026973026972E-2</v>
      </c>
    </row>
    <row r="5" spans="1:9" ht="20.149999999999999" customHeight="1" x14ac:dyDescent="0.35">
      <c r="A5" s="135" t="s">
        <v>5</v>
      </c>
      <c r="B5" s="135">
        <v>521</v>
      </c>
      <c r="C5" s="138">
        <v>0</v>
      </c>
      <c r="D5" s="135">
        <v>521</v>
      </c>
      <c r="E5" s="139">
        <f>B5/B4</f>
        <v>0.53490759753593431</v>
      </c>
      <c r="F5" s="140">
        <f>C5/D5</f>
        <v>0</v>
      </c>
    </row>
    <row r="6" spans="1:9" ht="20.149999999999999" customHeight="1" x14ac:dyDescent="0.35">
      <c r="A6" s="135" t="s">
        <v>42</v>
      </c>
      <c r="B6" s="135">
        <v>417</v>
      </c>
      <c r="C6" s="135">
        <v>27</v>
      </c>
      <c r="D6" s="135">
        <v>444</v>
      </c>
      <c r="E6" s="139">
        <f>B6/B4</f>
        <v>0.42813141683778233</v>
      </c>
      <c r="F6" s="140">
        <f>C6/D6</f>
        <v>6.0810810810810814E-2</v>
      </c>
      <c r="I6" s="5"/>
    </row>
    <row r="7" spans="1:9" ht="20.149999999999999" customHeight="1" x14ac:dyDescent="0.35">
      <c r="A7" s="141" t="s">
        <v>208</v>
      </c>
      <c r="B7" s="135">
        <v>35</v>
      </c>
      <c r="C7" s="135">
        <v>0</v>
      </c>
      <c r="D7" s="135">
        <v>35</v>
      </c>
      <c r="E7" s="139">
        <f>B7/B4</f>
        <v>3.5934291581108828E-2</v>
      </c>
      <c r="F7" s="140">
        <f>C7/D7</f>
        <v>0</v>
      </c>
    </row>
    <row r="8" spans="1:9" ht="20.149999999999999" customHeight="1" x14ac:dyDescent="0.35">
      <c r="A8" s="135" t="s">
        <v>24</v>
      </c>
      <c r="B8" s="135">
        <v>160</v>
      </c>
      <c r="C8" s="135">
        <v>1</v>
      </c>
      <c r="D8" s="135">
        <v>161</v>
      </c>
      <c r="E8" s="139">
        <f>B8/B4</f>
        <v>0.16427104722792607</v>
      </c>
      <c r="F8" s="139">
        <f>C8/C4</f>
        <v>3.7037037037037035E-2</v>
      </c>
    </row>
    <row r="9" spans="1:9" ht="20.149999999999999" customHeight="1" x14ac:dyDescent="0.35">
      <c r="A9" s="135" t="s">
        <v>49</v>
      </c>
      <c r="B9" s="135">
        <v>523</v>
      </c>
      <c r="C9" s="138">
        <v>0</v>
      </c>
      <c r="D9" s="135">
        <v>523</v>
      </c>
      <c r="E9" s="139">
        <f>B9/B4</f>
        <v>0.53696098562628336</v>
      </c>
      <c r="F9" s="140">
        <v>0</v>
      </c>
    </row>
    <row r="10" spans="1:9" ht="20.149999999999999" customHeight="1" x14ac:dyDescent="0.35">
      <c r="A10" s="135" t="s">
        <v>50</v>
      </c>
      <c r="B10" s="135">
        <v>79</v>
      </c>
      <c r="C10" s="138">
        <v>0</v>
      </c>
      <c r="D10" s="135">
        <v>79</v>
      </c>
      <c r="E10" s="139">
        <f>B10/B9</f>
        <v>0.15105162523900573</v>
      </c>
      <c r="F10" s="140">
        <v>0</v>
      </c>
    </row>
    <row r="11" spans="1:9" ht="20.149999999999999" customHeight="1" x14ac:dyDescent="0.35">
      <c r="A11" s="135" t="s">
        <v>209</v>
      </c>
      <c r="B11" s="155"/>
      <c r="C11" s="5"/>
      <c r="D11" s="135"/>
      <c r="E11" s="142"/>
      <c r="F11" s="142"/>
    </row>
    <row r="12" spans="1:9" ht="20.149999999999999" customHeight="1" x14ac:dyDescent="0.35">
      <c r="A12" s="143" t="s">
        <v>205</v>
      </c>
      <c r="B12" s="158">
        <f>201/511</f>
        <v>0.39334637964774949</v>
      </c>
      <c r="C12" s="182">
        <v>0</v>
      </c>
      <c r="D12" s="138" t="s">
        <v>23</v>
      </c>
      <c r="E12" s="138" t="s">
        <v>23</v>
      </c>
      <c r="F12" s="138" t="s">
        <v>23</v>
      </c>
    </row>
    <row r="13" spans="1:9" ht="20.149999999999999" customHeight="1" x14ac:dyDescent="0.35">
      <c r="A13" s="143" t="s">
        <v>18</v>
      </c>
      <c r="B13" s="183">
        <f>310/511</f>
        <v>0.60665362035225046</v>
      </c>
      <c r="C13" s="182">
        <v>0</v>
      </c>
      <c r="D13" s="138" t="s">
        <v>23</v>
      </c>
      <c r="E13" s="138" t="s">
        <v>23</v>
      </c>
      <c r="F13" s="138" t="s">
        <v>23</v>
      </c>
    </row>
    <row r="14" spans="1:9" ht="20.149999999999999" customHeight="1" x14ac:dyDescent="0.35">
      <c r="A14" s="135" t="s">
        <v>96</v>
      </c>
      <c r="B14" s="145">
        <v>45424</v>
      </c>
      <c r="C14" s="145">
        <v>0</v>
      </c>
      <c r="D14" s="138" t="s">
        <v>23</v>
      </c>
      <c r="E14" s="138" t="s">
        <v>23</v>
      </c>
      <c r="F14" s="138" t="s">
        <v>23</v>
      </c>
    </row>
    <row r="15" spans="1:9" ht="20.149999999999999" customHeight="1" x14ac:dyDescent="0.35">
      <c r="A15" s="135" t="s">
        <v>97</v>
      </c>
      <c r="B15" s="145">
        <v>45475</v>
      </c>
      <c r="C15" s="145">
        <v>0</v>
      </c>
      <c r="D15" s="138" t="s">
        <v>23</v>
      </c>
      <c r="E15" s="138" t="s">
        <v>23</v>
      </c>
      <c r="F15" s="138" t="s">
        <v>23</v>
      </c>
    </row>
    <row r="16" spans="1:9" ht="20.149999999999999" customHeight="1" x14ac:dyDescent="0.35">
      <c r="A16" s="146"/>
      <c r="B16" s="146"/>
      <c r="C16" s="146"/>
      <c r="D16" s="146"/>
      <c r="E16" s="146"/>
      <c r="F16" s="147"/>
    </row>
    <row r="17" spans="1:16" ht="18" customHeight="1" x14ac:dyDescent="0.35">
      <c r="A17" s="132" t="s">
        <v>31</v>
      </c>
      <c r="B17" s="148"/>
      <c r="C17" s="148"/>
      <c r="D17" s="148"/>
      <c r="E17" s="148"/>
      <c r="F17" s="148"/>
    </row>
    <row r="18" spans="1:16" ht="25" customHeight="1" x14ac:dyDescent="0.35">
      <c r="A18" s="132"/>
      <c r="B18" s="148"/>
      <c r="C18" s="149" t="s">
        <v>229</v>
      </c>
      <c r="D18" s="148"/>
      <c r="E18" s="148"/>
      <c r="F18" s="148"/>
    </row>
    <row r="19" spans="1:16" ht="25" customHeight="1" x14ac:dyDescent="0.35">
      <c r="A19" s="150" t="s">
        <v>228</v>
      </c>
      <c r="B19" s="151">
        <v>639</v>
      </c>
      <c r="C19" s="152">
        <f>B19/D4</f>
        <v>0.63836163836163839</v>
      </c>
      <c r="D19" s="135"/>
      <c r="E19" s="153"/>
      <c r="F19" s="139"/>
    </row>
    <row r="20" spans="1:16" ht="25" customHeight="1" x14ac:dyDescent="0.35">
      <c r="A20" s="150"/>
      <c r="B20" s="151"/>
      <c r="C20" s="152"/>
      <c r="D20" s="135"/>
      <c r="E20" s="153"/>
      <c r="F20" s="139"/>
    </row>
    <row r="21" spans="1:16" ht="20.149999999999999" customHeight="1" x14ac:dyDescent="0.35">
      <c r="A21" s="154" t="s">
        <v>231</v>
      </c>
      <c r="B21" s="184" t="s">
        <v>3</v>
      </c>
      <c r="C21" s="185"/>
      <c r="D21" s="185" t="s">
        <v>4</v>
      </c>
      <c r="E21" s="153"/>
      <c r="F21" s="139"/>
    </row>
    <row r="22" spans="1:16" ht="20.149999999999999" customHeight="1" x14ac:dyDescent="0.35">
      <c r="A22" s="143" t="s">
        <v>187</v>
      </c>
      <c r="B22" s="135">
        <v>95</v>
      </c>
      <c r="C22" s="138"/>
      <c r="D22" s="135">
        <v>7</v>
      </c>
      <c r="E22" s="140" t="s">
        <v>264</v>
      </c>
    </row>
    <row r="23" spans="1:16" ht="20.149999999999999" customHeight="1" x14ac:dyDescent="0.35">
      <c r="A23" s="143" t="s">
        <v>264</v>
      </c>
      <c r="B23" s="135">
        <v>81</v>
      </c>
      <c r="C23" s="138"/>
      <c r="D23" s="135">
        <v>4</v>
      </c>
      <c r="E23" s="140" t="s">
        <v>266</v>
      </c>
      <c r="J23" s="114"/>
    </row>
    <row r="24" spans="1:16" ht="20.149999999999999" customHeight="1" x14ac:dyDescent="0.35">
      <c r="A24" s="143" t="s">
        <v>265</v>
      </c>
      <c r="B24" s="135">
        <v>79</v>
      </c>
      <c r="C24" s="138"/>
      <c r="D24" s="135">
        <v>4</v>
      </c>
      <c r="E24" s="140" t="s">
        <v>267</v>
      </c>
    </row>
    <row r="25" spans="1:16" ht="20.149999999999999" customHeight="1" x14ac:dyDescent="0.35">
      <c r="A25" s="143" t="s">
        <v>47</v>
      </c>
      <c r="B25" s="135">
        <v>36</v>
      </c>
      <c r="C25" s="138"/>
      <c r="D25" s="135">
        <v>3</v>
      </c>
      <c r="E25" s="140" t="s">
        <v>47</v>
      </c>
      <c r="F25" s="156"/>
      <c r="O25" s="29"/>
      <c r="P25" s="18"/>
    </row>
    <row r="26" spans="1:16" ht="20.149999999999999" customHeight="1" x14ac:dyDescent="0.35">
      <c r="A26" s="308"/>
      <c r="B26" s="308"/>
      <c r="C26" s="308"/>
      <c r="D26" s="308"/>
      <c r="E26" s="308"/>
      <c r="F26" s="308"/>
    </row>
    <row r="27" spans="1:16" ht="18.75" customHeight="1" x14ac:dyDescent="0.35">
      <c r="A27" s="135" t="s">
        <v>230</v>
      </c>
      <c r="B27" s="135"/>
      <c r="C27" s="140"/>
      <c r="D27" s="135"/>
      <c r="E27" s="139"/>
      <c r="F27" s="140"/>
    </row>
    <row r="28" spans="1:16" ht="20.149999999999999" customHeight="1" x14ac:dyDescent="0.35">
      <c r="A28" s="157" t="s">
        <v>216</v>
      </c>
      <c r="B28" s="135"/>
      <c r="C28" s="135"/>
      <c r="D28" s="135"/>
      <c r="E28" s="135"/>
      <c r="F28" s="135"/>
    </row>
    <row r="29" spans="1:16" ht="25" customHeight="1" x14ac:dyDescent="0.35">
      <c r="A29" s="143" t="s">
        <v>55</v>
      </c>
      <c r="B29" s="135">
        <v>40</v>
      </c>
      <c r="C29" s="138"/>
      <c r="D29" s="135"/>
      <c r="E29" s="158"/>
      <c r="F29" s="156"/>
    </row>
    <row r="30" spans="1:16" ht="20.149999999999999" customHeight="1" x14ac:dyDescent="0.35">
      <c r="A30" s="143" t="s">
        <v>268</v>
      </c>
      <c r="B30" s="135">
        <v>38</v>
      </c>
      <c r="C30" s="138"/>
      <c r="D30" s="135"/>
      <c r="E30" s="158"/>
      <c r="F30" s="156"/>
      <c r="K30" s="29"/>
      <c r="L30" s="18"/>
    </row>
    <row r="31" spans="1:16" ht="20.149999999999999" customHeight="1" x14ac:dyDescent="0.35">
      <c r="A31" s="143" t="s">
        <v>56</v>
      </c>
      <c r="B31" s="135">
        <v>20</v>
      </c>
      <c r="C31" s="138"/>
      <c r="D31" s="135"/>
      <c r="E31" s="158"/>
      <c r="F31" s="156"/>
      <c r="K31" s="29"/>
      <c r="L31" s="18"/>
    </row>
    <row r="32" spans="1:16" ht="20.149999999999999" customHeight="1" x14ac:dyDescent="0.35">
      <c r="A32" s="143" t="s">
        <v>269</v>
      </c>
      <c r="B32" s="135">
        <v>17</v>
      </c>
      <c r="C32" s="138"/>
      <c r="D32" s="135"/>
      <c r="E32" s="158"/>
      <c r="F32" s="156"/>
      <c r="K32" s="29"/>
      <c r="L32" s="18"/>
    </row>
    <row r="33" spans="1:47" ht="20.149999999999999" customHeight="1" x14ac:dyDescent="0.35">
      <c r="A33" s="143" t="s">
        <v>270</v>
      </c>
      <c r="B33" s="135">
        <v>15</v>
      </c>
      <c r="C33" s="138"/>
      <c r="D33" s="135"/>
      <c r="E33" s="158"/>
      <c r="F33" s="156"/>
      <c r="K33" s="29"/>
      <c r="L33" s="18"/>
    </row>
    <row r="34" spans="1:47" ht="20.149999999999999" customHeight="1" x14ac:dyDescent="0.35">
      <c r="A34" s="157" t="s">
        <v>238</v>
      </c>
      <c r="B34" s="308"/>
      <c r="C34" s="308"/>
      <c r="D34" s="308"/>
      <c r="E34" s="308"/>
      <c r="F34" s="308"/>
      <c r="K34" s="29"/>
      <c r="L34" s="18"/>
    </row>
    <row r="35" spans="1:47" ht="48.75" customHeight="1" x14ac:dyDescent="0.35">
      <c r="A35" s="187" t="s">
        <v>271</v>
      </c>
      <c r="B35" s="186" t="s">
        <v>273</v>
      </c>
      <c r="C35" s="159"/>
      <c r="D35" s="159"/>
      <c r="E35" s="159"/>
      <c r="F35" s="159"/>
    </row>
    <row r="36" spans="1:47" ht="0.75" customHeight="1" x14ac:dyDescent="0.35">
      <c r="A36" s="160" t="s">
        <v>239</v>
      </c>
      <c r="B36" s="161">
        <v>0</v>
      </c>
      <c r="C36" s="161"/>
      <c r="D36" s="162"/>
      <c r="E36" s="162"/>
      <c r="F36" s="162"/>
    </row>
    <row r="37" spans="1:47" s="163" customFormat="1" ht="53.25" customHeight="1" x14ac:dyDescent="0.35">
      <c r="A37" s="187" t="s">
        <v>272</v>
      </c>
      <c r="B37" s="186" t="s">
        <v>274</v>
      </c>
      <c r="C37" s="161"/>
      <c r="D37" s="162"/>
      <c r="E37" s="162"/>
      <c r="F37" s="162"/>
      <c r="G37" s="106"/>
      <c r="H37" s="106"/>
      <c r="I37" s="106"/>
      <c r="J37" s="106"/>
      <c r="K37" s="106"/>
      <c r="L37" s="106"/>
      <c r="M37" s="106"/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106"/>
      <c r="AA37" s="106"/>
      <c r="AB37" s="106"/>
      <c r="AC37" s="106"/>
      <c r="AD37" s="106"/>
      <c r="AE37" s="106"/>
      <c r="AF37" s="106"/>
      <c r="AG37" s="106"/>
      <c r="AH37" s="106"/>
      <c r="AI37" s="106"/>
      <c r="AJ37" s="106"/>
      <c r="AK37" s="106"/>
      <c r="AL37" s="106"/>
      <c r="AM37" s="106"/>
      <c r="AN37" s="106"/>
      <c r="AO37" s="106"/>
      <c r="AP37" s="106"/>
      <c r="AQ37" s="106"/>
      <c r="AR37" s="106"/>
      <c r="AS37" s="106"/>
      <c r="AT37" s="106"/>
      <c r="AU37" s="106"/>
    </row>
    <row r="38" spans="1:47" s="163" customFormat="1" ht="43.5" customHeight="1" x14ac:dyDescent="0.35">
      <c r="A38" s="160"/>
      <c r="B38" s="135"/>
      <c r="C38" s="138"/>
      <c r="D38" s="164"/>
      <c r="E38" s="164"/>
      <c r="F38" s="164"/>
      <c r="G38" s="106"/>
      <c r="H38" s="106"/>
      <c r="I38" s="106"/>
      <c r="J38" s="106"/>
      <c r="K38" s="106"/>
      <c r="L38" s="106"/>
      <c r="M38" s="106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106"/>
      <c r="AA38" s="106"/>
      <c r="AB38" s="106"/>
      <c r="AC38" s="106"/>
      <c r="AD38" s="106"/>
      <c r="AE38" s="106"/>
      <c r="AF38" s="106"/>
      <c r="AG38" s="106"/>
      <c r="AH38" s="106"/>
      <c r="AI38" s="106"/>
      <c r="AJ38" s="106"/>
      <c r="AK38" s="106"/>
      <c r="AL38" s="106"/>
      <c r="AM38" s="106"/>
      <c r="AN38" s="106"/>
      <c r="AO38" s="106"/>
      <c r="AP38" s="106"/>
      <c r="AQ38" s="106"/>
      <c r="AR38" s="106"/>
      <c r="AS38" s="106"/>
      <c r="AT38" s="106"/>
      <c r="AU38" s="106"/>
    </row>
    <row r="39" spans="1:47" ht="20.149999999999999" customHeight="1" x14ac:dyDescent="0.35">
      <c r="A39" s="309"/>
      <c r="B39" s="309"/>
      <c r="C39" s="309"/>
      <c r="D39" s="309"/>
      <c r="E39" s="309"/>
      <c r="F39" s="309"/>
    </row>
    <row r="40" spans="1:47" ht="18.75" customHeight="1" x14ac:dyDescent="0.35">
      <c r="A40" s="165" t="s">
        <v>217</v>
      </c>
      <c r="B40" s="165"/>
      <c r="C40" s="165"/>
      <c r="D40" s="148"/>
      <c r="E40" s="148"/>
      <c r="F40" s="148"/>
    </row>
    <row r="41" spans="1:47" ht="25" customHeight="1" x14ac:dyDescent="0.35">
      <c r="A41" s="166" t="s">
        <v>43</v>
      </c>
      <c r="B41" s="138">
        <v>39</v>
      </c>
      <c r="C41" s="138">
        <v>31</v>
      </c>
      <c r="D41" s="148"/>
      <c r="E41" s="148"/>
      <c r="F41" s="148"/>
    </row>
    <row r="42" spans="1:47" ht="25" customHeight="1" x14ac:dyDescent="0.35">
      <c r="A42" s="166" t="s">
        <v>44</v>
      </c>
      <c r="B42" s="138">
        <v>36</v>
      </c>
      <c r="C42" s="138">
        <f>-E47</f>
        <v>0</v>
      </c>
      <c r="D42" s="148"/>
      <c r="E42" s="148"/>
      <c r="F42" s="148"/>
    </row>
    <row r="43" spans="1:47" ht="25" customHeight="1" x14ac:dyDescent="0.35">
      <c r="A43" s="135" t="s">
        <v>60</v>
      </c>
      <c r="B43" s="138">
        <v>75</v>
      </c>
      <c r="C43" s="138">
        <v>47</v>
      </c>
      <c r="D43" s="135"/>
      <c r="E43" s="135"/>
      <c r="F43" s="139"/>
    </row>
    <row r="44" spans="1:47" ht="20.149999999999999" customHeight="1" x14ac:dyDescent="0.35">
      <c r="A44" s="135" t="s">
        <v>197</v>
      </c>
      <c r="B44" s="138">
        <v>75</v>
      </c>
      <c r="C44" s="138">
        <v>0</v>
      </c>
      <c r="D44" s="135"/>
      <c r="E44" s="135"/>
      <c r="F44" s="139"/>
    </row>
    <row r="45" spans="1:47" ht="20.149999999999999" customHeight="1" x14ac:dyDescent="0.35">
      <c r="A45" s="135" t="s">
        <v>9</v>
      </c>
      <c r="B45" s="138">
        <v>64</v>
      </c>
      <c r="C45" s="138">
        <v>0</v>
      </c>
      <c r="D45" s="135"/>
      <c r="E45" s="135"/>
      <c r="F45" s="139"/>
    </row>
    <row r="46" spans="1:47" ht="20.149999999999999" customHeight="1" x14ac:dyDescent="0.35">
      <c r="A46" s="135" t="s">
        <v>196</v>
      </c>
      <c r="B46" s="138">
        <v>64</v>
      </c>
      <c r="C46" s="138">
        <v>0</v>
      </c>
      <c r="D46" s="135"/>
      <c r="E46" s="135"/>
      <c r="F46" s="139"/>
    </row>
    <row r="47" spans="1:47" ht="20.149999999999999" customHeight="1" x14ac:dyDescent="0.35">
      <c r="A47" s="135" t="s">
        <v>10</v>
      </c>
      <c r="B47" s="138">
        <v>15</v>
      </c>
      <c r="C47" s="138">
        <v>18</v>
      </c>
      <c r="D47" s="135"/>
      <c r="E47" s="135"/>
      <c r="F47" s="139"/>
    </row>
    <row r="48" spans="1:47" ht="20.149999999999999" customHeight="1" x14ac:dyDescent="0.35">
      <c r="A48" s="135" t="s">
        <v>194</v>
      </c>
      <c r="B48" s="138">
        <v>15</v>
      </c>
      <c r="C48" s="138">
        <v>0</v>
      </c>
      <c r="D48" s="135"/>
      <c r="E48" s="135"/>
      <c r="F48" s="139"/>
    </row>
    <row r="49" spans="1:6" ht="20.149999999999999" customHeight="1" x14ac:dyDescent="0.35">
      <c r="A49" s="135" t="s">
        <v>61</v>
      </c>
      <c r="B49" s="138">
        <v>19</v>
      </c>
      <c r="C49" s="138">
        <v>0</v>
      </c>
      <c r="D49" s="135"/>
      <c r="E49" s="135"/>
      <c r="F49" s="139"/>
    </row>
    <row r="50" spans="1:6" ht="20.149999999999999" customHeight="1" x14ac:dyDescent="0.35">
      <c r="A50" s="135" t="s">
        <v>195</v>
      </c>
      <c r="B50" s="138">
        <v>23</v>
      </c>
      <c r="C50" s="138">
        <v>0</v>
      </c>
      <c r="D50" s="135"/>
      <c r="E50" s="135"/>
      <c r="F50" s="139"/>
    </row>
    <row r="51" spans="1:6" ht="20.149999999999999" customHeight="1" x14ac:dyDescent="0.35">
      <c r="A51" s="309"/>
      <c r="B51" s="309"/>
      <c r="C51" s="309"/>
      <c r="D51" s="309"/>
      <c r="E51" s="309"/>
      <c r="F51" s="309"/>
    </row>
    <row r="52" spans="1:6" ht="15" customHeight="1" x14ac:dyDescent="0.35">
      <c r="A52" s="132" t="s">
        <v>45</v>
      </c>
      <c r="B52" s="148"/>
      <c r="C52" s="148"/>
      <c r="D52" s="148"/>
      <c r="E52" s="148"/>
      <c r="F52" s="148"/>
    </row>
    <row r="53" spans="1:6" ht="25" customHeight="1" x14ac:dyDescent="0.35">
      <c r="A53" s="166" t="s">
        <v>88</v>
      </c>
      <c r="B53" s="138"/>
      <c r="C53" s="148"/>
      <c r="D53" s="148"/>
      <c r="E53" s="148"/>
      <c r="F53" s="148"/>
    </row>
    <row r="54" spans="1:6" ht="25" customHeight="1" x14ac:dyDescent="0.35">
      <c r="A54" s="143" t="s">
        <v>25</v>
      </c>
      <c r="B54" s="167">
        <f>119/153</f>
        <v>0.77777777777777779</v>
      </c>
      <c r="E54" s="155"/>
    </row>
    <row r="55" spans="1:6" ht="20.149999999999999" customHeight="1" x14ac:dyDescent="0.35">
      <c r="A55" s="143" t="s">
        <v>26</v>
      </c>
      <c r="B55" s="167">
        <f>34/153</f>
        <v>0.22222222222222221</v>
      </c>
      <c r="E55" s="155"/>
    </row>
    <row r="56" spans="1:6" ht="20.149999999999999" customHeight="1" x14ac:dyDescent="0.35">
      <c r="A56" s="135" t="s">
        <v>80</v>
      </c>
      <c r="B56" s="138"/>
      <c r="C56" s="135"/>
      <c r="D56" s="135"/>
      <c r="E56" s="135"/>
      <c r="F56" s="139"/>
    </row>
    <row r="57" spans="1:6" ht="20.149999999999999" customHeight="1" x14ac:dyDescent="0.35">
      <c r="A57" s="143" t="s">
        <v>25</v>
      </c>
      <c r="B57" s="138">
        <v>31</v>
      </c>
    </row>
    <row r="58" spans="1:6" ht="20.149999999999999" customHeight="1" x14ac:dyDescent="0.35">
      <c r="A58" s="143" t="s">
        <v>26</v>
      </c>
      <c r="B58" s="138">
        <v>30</v>
      </c>
    </row>
    <row r="59" spans="1:6" ht="20.149999999999999" customHeight="1" x14ac:dyDescent="0.35">
      <c r="A59" s="168"/>
      <c r="B59" s="169"/>
      <c r="C59" s="170"/>
      <c r="D59" s="170"/>
      <c r="E59" s="170"/>
      <c r="F59" s="171"/>
    </row>
    <row r="60" spans="1:6" ht="15" customHeight="1" x14ac:dyDescent="0.35">
      <c r="A60" s="132" t="s">
        <v>46</v>
      </c>
      <c r="B60" s="138"/>
    </row>
    <row r="61" spans="1:6" x14ac:dyDescent="0.35">
      <c r="A61" s="172" t="s">
        <v>34</v>
      </c>
    </row>
    <row r="62" spans="1:6" ht="20.149999999999999" customHeight="1" x14ac:dyDescent="0.35">
      <c r="A62" s="143" t="s">
        <v>25</v>
      </c>
      <c r="B62" s="138">
        <v>28</v>
      </c>
      <c r="E62" s="155"/>
    </row>
    <row r="63" spans="1:6" ht="16.5" customHeight="1" x14ac:dyDescent="0.35">
      <c r="A63" s="143" t="s">
        <v>26</v>
      </c>
      <c r="B63" s="138">
        <v>8</v>
      </c>
      <c r="E63" s="155"/>
    </row>
    <row r="64" spans="1:6" ht="14.25" customHeight="1" x14ac:dyDescent="0.35">
      <c r="A64" s="143"/>
      <c r="B64" s="138"/>
      <c r="E64" s="155"/>
    </row>
    <row r="65" spans="1:47" ht="12.75" customHeight="1" x14ac:dyDescent="0.35">
      <c r="A65" s="135" t="s">
        <v>35</v>
      </c>
      <c r="B65" s="135"/>
      <c r="C65" s="135"/>
      <c r="D65" s="135"/>
      <c r="E65" s="135"/>
      <c r="F65" s="139"/>
    </row>
    <row r="66" spans="1:47" ht="20.149999999999999" customHeight="1" x14ac:dyDescent="0.35">
      <c r="A66" s="143" t="s">
        <v>25</v>
      </c>
      <c r="B66" s="138">
        <v>35</v>
      </c>
      <c r="C66" s="135"/>
      <c r="D66" s="135"/>
      <c r="E66" s="135"/>
      <c r="F66" s="139"/>
    </row>
    <row r="67" spans="1:47" ht="20.149999999999999" customHeight="1" x14ac:dyDescent="0.35">
      <c r="A67" s="143" t="s">
        <v>26</v>
      </c>
      <c r="B67" s="138">
        <v>37</v>
      </c>
      <c r="C67" s="135"/>
      <c r="D67" s="135"/>
      <c r="E67" s="135"/>
      <c r="F67" s="139"/>
    </row>
    <row r="68" spans="1:47" ht="20.149999999999999" customHeight="1" x14ac:dyDescent="0.35">
      <c r="A68" s="170"/>
      <c r="B68" s="170"/>
      <c r="C68" s="170"/>
      <c r="D68" s="170"/>
      <c r="E68" s="170"/>
      <c r="F68" s="171"/>
    </row>
    <row r="69" spans="1:47" ht="15" customHeight="1" x14ac:dyDescent="0.35">
      <c r="A69" s="132" t="s">
        <v>40</v>
      </c>
      <c r="F69" s="173"/>
    </row>
    <row r="70" spans="1:47" ht="18.75" customHeight="1" x14ac:dyDescent="0.35">
      <c r="A70" s="135" t="s">
        <v>74</v>
      </c>
    </row>
    <row r="71" spans="1:47" ht="18.75" customHeight="1" x14ac:dyDescent="0.35">
      <c r="A71" s="143" t="s">
        <v>37</v>
      </c>
      <c r="B71" s="127">
        <v>157</v>
      </c>
    </row>
    <row r="72" spans="1:47" ht="18.75" customHeight="1" x14ac:dyDescent="0.35">
      <c r="A72" s="143" t="s">
        <v>38</v>
      </c>
      <c r="B72" s="127">
        <v>345</v>
      </c>
    </row>
    <row r="73" spans="1:47" ht="15.75" customHeight="1" x14ac:dyDescent="0.35">
      <c r="A73" s="143" t="s">
        <v>168</v>
      </c>
      <c r="B73" s="127">
        <v>21</v>
      </c>
      <c r="C73" s="138"/>
      <c r="D73" s="143"/>
      <c r="E73" s="143"/>
      <c r="F73" s="175"/>
    </row>
    <row r="74" spans="1:47" s="143" customFormat="1" ht="20.149999999999999" customHeight="1" x14ac:dyDescent="0.3">
      <c r="C74" s="138"/>
      <c r="F74" s="175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R74" s="29"/>
      <c r="AS74" s="29"/>
      <c r="AT74" s="29"/>
      <c r="AU74" s="29"/>
    </row>
    <row r="75" spans="1:47" ht="20.149999999999999" customHeight="1" x14ac:dyDescent="0.35">
      <c r="A75" s="304" t="s">
        <v>75</v>
      </c>
      <c r="B75" s="304"/>
      <c r="C75" s="304"/>
      <c r="D75" s="304"/>
      <c r="E75" s="304"/>
      <c r="F75" s="304"/>
    </row>
    <row r="76" spans="1:47" ht="18" customHeight="1" x14ac:dyDescent="0.35">
      <c r="A76" s="143" t="s">
        <v>275</v>
      </c>
      <c r="B76" s="135">
        <v>68</v>
      </c>
      <c r="C76" s="135"/>
      <c r="D76" s="135"/>
      <c r="E76" s="135"/>
      <c r="F76" s="177"/>
    </row>
    <row r="77" spans="1:47" ht="20.149999999999999" customHeight="1" x14ac:dyDescent="0.35">
      <c r="A77" s="143" t="s">
        <v>276</v>
      </c>
      <c r="B77" s="135">
        <v>68</v>
      </c>
      <c r="C77" s="135"/>
      <c r="D77" s="135"/>
      <c r="E77" s="135"/>
      <c r="F77" s="177"/>
    </row>
    <row r="78" spans="1:47" ht="20.149999999999999" customHeight="1" x14ac:dyDescent="0.35">
      <c r="A78" s="143" t="s">
        <v>277</v>
      </c>
      <c r="B78" s="135">
        <v>40</v>
      </c>
      <c r="C78" s="135"/>
      <c r="D78" s="135"/>
      <c r="E78" s="135"/>
      <c r="F78" s="177"/>
    </row>
    <row r="79" spans="1:47" ht="20.149999999999999" customHeight="1" x14ac:dyDescent="0.35">
      <c r="A79" s="146"/>
      <c r="B79" s="146"/>
      <c r="C79" s="146"/>
      <c r="D79" s="146"/>
      <c r="E79" s="146"/>
      <c r="F79" s="147"/>
    </row>
    <row r="80" spans="1:47" ht="15.75" customHeight="1" x14ac:dyDescent="0.35">
      <c r="A80" s="132" t="s">
        <v>234</v>
      </c>
      <c r="B80" s="135"/>
      <c r="C80" s="135"/>
      <c r="D80" s="135"/>
      <c r="E80" s="135"/>
      <c r="F80" s="177"/>
    </row>
    <row r="81" spans="1:10" ht="25" customHeight="1" x14ac:dyDescent="0.35">
      <c r="A81" s="304" t="s">
        <v>68</v>
      </c>
      <c r="B81" s="305" t="s">
        <v>3</v>
      </c>
      <c r="C81" s="305"/>
      <c r="E81" s="306" t="s">
        <v>4</v>
      </c>
      <c r="F81" s="306"/>
    </row>
    <row r="82" spans="1:10" ht="25" customHeight="1" x14ac:dyDescent="0.35">
      <c r="A82" s="304"/>
      <c r="B82" s="149" t="s">
        <v>52</v>
      </c>
      <c r="C82" s="148" t="s">
        <v>51</v>
      </c>
      <c r="D82" s="178" t="s">
        <v>95</v>
      </c>
      <c r="E82" s="148" t="s">
        <v>52</v>
      </c>
      <c r="F82" s="148" t="s">
        <v>51</v>
      </c>
    </row>
    <row r="83" spans="1:10" ht="14.25" customHeight="1" x14ac:dyDescent="0.35">
      <c r="A83" s="143" t="s">
        <v>253</v>
      </c>
      <c r="B83" s="135">
        <v>972</v>
      </c>
      <c r="C83" s="138">
        <v>503</v>
      </c>
      <c r="D83" s="139">
        <f>C83/B83</f>
        <v>0.51748971193415638</v>
      </c>
      <c r="E83" s="135"/>
      <c r="F83" s="140"/>
    </row>
    <row r="84" spans="1:10" ht="20.149999999999999" customHeight="1" x14ac:dyDescent="0.35">
      <c r="A84" s="143" t="s">
        <v>254</v>
      </c>
      <c r="B84" s="135">
        <v>26</v>
      </c>
      <c r="C84" s="138">
        <v>10</v>
      </c>
      <c r="D84" s="139">
        <f>C84/B84</f>
        <v>0.38461538461538464</v>
      </c>
      <c r="E84" s="135"/>
      <c r="F84" s="140"/>
    </row>
    <row r="85" spans="1:10" ht="20.149999999999999" customHeight="1" x14ac:dyDescent="0.35">
      <c r="A85" s="143" t="s">
        <v>204</v>
      </c>
      <c r="B85" s="135">
        <v>20</v>
      </c>
      <c r="C85" s="138">
        <v>4</v>
      </c>
      <c r="D85" s="139">
        <v>0</v>
      </c>
      <c r="E85" s="135"/>
      <c r="F85" s="140"/>
    </row>
    <row r="86" spans="1:10" ht="20.149999999999999" customHeight="1" x14ac:dyDescent="0.35">
      <c r="A86" s="143" t="s">
        <v>129</v>
      </c>
      <c r="B86" s="135">
        <v>5</v>
      </c>
      <c r="C86" s="138">
        <v>3</v>
      </c>
      <c r="D86" s="139">
        <f>C86/B86</f>
        <v>0.6</v>
      </c>
      <c r="E86" s="135"/>
      <c r="F86" s="140"/>
    </row>
    <row r="87" spans="1:10" ht="20.149999999999999" customHeight="1" x14ac:dyDescent="0.35">
      <c r="A87" s="143" t="s">
        <v>257</v>
      </c>
      <c r="B87" s="135">
        <v>22</v>
      </c>
      <c r="C87" s="138">
        <v>3</v>
      </c>
      <c r="D87" s="139">
        <f>C87/B87</f>
        <v>0.13636363636363635</v>
      </c>
      <c r="E87" s="135"/>
      <c r="F87" s="140"/>
    </row>
    <row r="88" spans="1:10" ht="20.149999999999999" customHeight="1" x14ac:dyDescent="0.35">
      <c r="A88" s="143" t="s">
        <v>278</v>
      </c>
      <c r="B88" s="127">
        <v>2</v>
      </c>
      <c r="C88" s="127">
        <v>0</v>
      </c>
      <c r="D88" s="144">
        <f>C88/B88</f>
        <v>0</v>
      </c>
      <c r="F88" s="135"/>
    </row>
    <row r="89" spans="1:10" ht="20.149999999999999" customHeight="1" thickBot="1" x14ac:dyDescent="0.4">
      <c r="A89" s="192" t="s">
        <v>279</v>
      </c>
      <c r="B89" s="193">
        <v>2</v>
      </c>
      <c r="C89" s="194">
        <v>0</v>
      </c>
      <c r="D89" s="195">
        <f>C89/B89</f>
        <v>0</v>
      </c>
      <c r="E89" s="194"/>
      <c r="F89" s="194"/>
      <c r="J89" s="5"/>
    </row>
    <row r="90" spans="1:10" ht="20.149999999999999" customHeight="1" x14ac:dyDescent="0.35">
      <c r="A90" s="188" t="s">
        <v>280</v>
      </c>
      <c r="B90" s="189"/>
      <c r="C90" s="190"/>
      <c r="D90" s="191">
        <f>F90/E90</f>
        <v>0</v>
      </c>
      <c r="E90" s="190">
        <v>22</v>
      </c>
      <c r="F90" s="190">
        <v>0</v>
      </c>
    </row>
    <row r="91" spans="1:10" ht="20.149999999999999" customHeight="1" x14ac:dyDescent="0.35">
      <c r="A91" s="143" t="s">
        <v>281</v>
      </c>
      <c r="C91" s="138"/>
      <c r="D91" s="191">
        <f>F91/E91</f>
        <v>0</v>
      </c>
      <c r="E91" s="138">
        <v>2</v>
      </c>
      <c r="F91" s="138">
        <v>0</v>
      </c>
    </row>
    <row r="92" spans="1:10" ht="20.149999999999999" customHeight="1" x14ac:dyDescent="0.35">
      <c r="A92" s="143" t="s">
        <v>283</v>
      </c>
      <c r="C92" s="138"/>
      <c r="D92" s="191">
        <f>F92/E92</f>
        <v>0</v>
      </c>
      <c r="E92" s="138">
        <v>2</v>
      </c>
      <c r="F92" s="138">
        <v>0</v>
      </c>
    </row>
    <row r="93" spans="1:10" ht="20.149999999999999" customHeight="1" x14ac:dyDescent="0.35">
      <c r="A93" s="143" t="s">
        <v>282</v>
      </c>
      <c r="C93" s="138"/>
      <c r="D93" s="191">
        <f>F93/E93</f>
        <v>0</v>
      </c>
      <c r="E93" s="138">
        <v>2</v>
      </c>
      <c r="F93" s="138">
        <v>0</v>
      </c>
    </row>
    <row r="94" spans="1:10" ht="20.149999999999999" customHeight="1" x14ac:dyDescent="0.35">
      <c r="A94" s="146"/>
      <c r="B94" s="146"/>
      <c r="C94" s="146"/>
      <c r="D94" s="146"/>
      <c r="E94" s="146"/>
      <c r="F94" s="147"/>
    </row>
    <row r="95" spans="1:10" ht="17.25" customHeight="1" x14ac:dyDescent="0.35">
      <c r="A95" s="179" t="s">
        <v>39</v>
      </c>
      <c r="B95" s="135"/>
      <c r="C95" s="135"/>
      <c r="D95" s="135"/>
      <c r="E95" s="135"/>
      <c r="F95" s="177"/>
    </row>
    <row r="96" spans="1:10" ht="25" customHeight="1" x14ac:dyDescent="0.35">
      <c r="A96" s="135" t="s">
        <v>226</v>
      </c>
      <c r="B96" s="180" t="s">
        <v>19</v>
      </c>
      <c r="C96" s="159" t="s">
        <v>18</v>
      </c>
      <c r="D96" s="180"/>
      <c r="E96" s="180"/>
      <c r="F96" s="181"/>
    </row>
    <row r="97" spans="1:6" ht="16.5" customHeight="1" x14ac:dyDescent="0.35">
      <c r="A97" s="143" t="s">
        <v>16</v>
      </c>
      <c r="B97" s="138" t="s">
        <v>284</v>
      </c>
      <c r="C97" s="138"/>
      <c r="E97" s="138"/>
      <c r="F97" s="139"/>
    </row>
    <row r="98" spans="1:6" ht="20.149999999999999" customHeight="1" x14ac:dyDescent="0.35">
      <c r="A98" s="143" t="s">
        <v>4</v>
      </c>
      <c r="B98" s="138" t="s">
        <v>286</v>
      </c>
      <c r="C98" s="138"/>
      <c r="D98" s="138"/>
      <c r="E98" s="138"/>
      <c r="F98" s="139"/>
    </row>
    <row r="99" spans="1:6" ht="20.149999999999999" customHeight="1" x14ac:dyDescent="0.35">
      <c r="A99" s="135" t="s">
        <v>227</v>
      </c>
    </row>
    <row r="100" spans="1:6" x14ac:dyDescent="0.35">
      <c r="A100" s="143" t="s">
        <v>16</v>
      </c>
      <c r="B100" s="138" t="s">
        <v>285</v>
      </c>
      <c r="C100" s="138"/>
    </row>
    <row r="101" spans="1:6" x14ac:dyDescent="0.35">
      <c r="A101" s="143"/>
      <c r="B101" s="174"/>
      <c r="C101" s="174"/>
    </row>
    <row r="102" spans="1:6" x14ac:dyDescent="0.35">
      <c r="A102" s="135" t="s">
        <v>262</v>
      </c>
      <c r="B102" s="138" t="s">
        <v>287</v>
      </c>
    </row>
  </sheetData>
  <mergeCells count="9">
    <mergeCell ref="A81:A82"/>
    <mergeCell ref="B81:C81"/>
    <mergeCell ref="E81:F81"/>
    <mergeCell ref="A1:F1"/>
    <mergeCell ref="A26:F26"/>
    <mergeCell ref="B34:F34"/>
    <mergeCell ref="A39:F39"/>
    <mergeCell ref="A51:F51"/>
    <mergeCell ref="A75:F75"/>
  </mergeCells>
  <pageMargins left="0.25" right="0.25" top="0.75" bottom="0.75" header="0.3" footer="0.3"/>
  <pageSetup scale="9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D48E4-6DCA-4B71-94A4-D37B4217575B}">
  <sheetPr>
    <tabColor rgb="FF00B0F0"/>
    <pageSetUpPr fitToPage="1"/>
  </sheetPr>
  <dimension ref="A1:AU99"/>
  <sheetViews>
    <sheetView zoomScaleNormal="100" workbookViewId="0">
      <pane ySplit="2" topLeftCell="A73" activePane="bottomLeft" state="frozen"/>
      <selection pane="bottomLeft" activeCell="B36" sqref="B36"/>
    </sheetView>
  </sheetViews>
  <sheetFormatPr defaultColWidth="8.81640625" defaultRowHeight="14.5" x14ac:dyDescent="0.35"/>
  <cols>
    <col min="1" max="1" width="50.81640625" style="127" customWidth="1"/>
    <col min="2" max="4" width="9.81640625" style="127" customWidth="1"/>
    <col min="5" max="5" width="10.81640625" style="127" customWidth="1"/>
    <col min="6" max="6" width="10.81640625" style="155" customWidth="1"/>
    <col min="48" max="16384" width="8.81640625" style="127"/>
  </cols>
  <sheetData>
    <row r="1" spans="1:6" ht="23.15" customHeight="1" x14ac:dyDescent="0.35">
      <c r="A1" s="307" t="s">
        <v>235</v>
      </c>
      <c r="B1" s="307"/>
      <c r="C1" s="307"/>
      <c r="D1" s="307"/>
      <c r="E1" s="307"/>
      <c r="F1" s="307"/>
    </row>
    <row r="2" spans="1:6" ht="45" customHeight="1" x14ac:dyDescent="0.35">
      <c r="A2" s="128"/>
      <c r="B2" s="129" t="s">
        <v>3</v>
      </c>
      <c r="C2" s="129" t="s">
        <v>4</v>
      </c>
      <c r="D2" s="129" t="s">
        <v>0</v>
      </c>
      <c r="E2" s="130" t="s">
        <v>93</v>
      </c>
      <c r="F2" s="131" t="s">
        <v>94</v>
      </c>
    </row>
    <row r="3" spans="1:6" ht="32.25" customHeight="1" x14ac:dyDescent="0.35">
      <c r="A3" s="132" t="s">
        <v>32</v>
      </c>
      <c r="B3" s="133"/>
      <c r="C3" s="133"/>
      <c r="D3" s="133"/>
      <c r="E3" s="133"/>
      <c r="F3" s="134"/>
    </row>
    <row r="4" spans="1:6" ht="20.149999999999999" customHeight="1" x14ac:dyDescent="0.35">
      <c r="A4" s="135" t="s">
        <v>41</v>
      </c>
      <c r="B4" s="135">
        <v>1017</v>
      </c>
      <c r="C4" s="135">
        <v>12</v>
      </c>
      <c r="D4" s="135">
        <v>1021</v>
      </c>
      <c r="E4" s="136">
        <f>B4/D4</f>
        <v>0.99608227228207635</v>
      </c>
      <c r="F4" s="137">
        <f>C4/D4</f>
        <v>1.1753183153770812E-2</v>
      </c>
    </row>
    <row r="5" spans="1:6" ht="20.149999999999999" customHeight="1" x14ac:dyDescent="0.35">
      <c r="A5" s="135" t="s">
        <v>5</v>
      </c>
      <c r="B5" s="135">
        <v>446</v>
      </c>
      <c r="C5" s="138">
        <v>0</v>
      </c>
      <c r="D5" s="135">
        <v>446</v>
      </c>
      <c r="E5" s="139">
        <f>D5/B4</f>
        <v>0.43854473942969519</v>
      </c>
      <c r="F5" s="140">
        <f>C5/D5</f>
        <v>0</v>
      </c>
    </row>
    <row r="6" spans="1:6" ht="20.149999999999999" customHeight="1" x14ac:dyDescent="0.35">
      <c r="A6" s="135" t="s">
        <v>42</v>
      </c>
      <c r="B6" s="135">
        <v>530</v>
      </c>
      <c r="C6" s="135">
        <v>8</v>
      </c>
      <c r="D6" s="135">
        <v>538</v>
      </c>
      <c r="E6" s="139">
        <f>D6/B4</f>
        <v>0.52900688298918386</v>
      </c>
      <c r="F6" s="140">
        <f>C6/D6</f>
        <v>1.4869888475836431E-2</v>
      </c>
    </row>
    <row r="7" spans="1:6" ht="20.149999999999999" customHeight="1" x14ac:dyDescent="0.35">
      <c r="A7" s="141" t="s">
        <v>208</v>
      </c>
      <c r="B7" s="135">
        <v>40</v>
      </c>
      <c r="C7" s="135">
        <v>0</v>
      </c>
      <c r="D7" s="135">
        <v>40</v>
      </c>
      <c r="E7" s="139">
        <f>D7/B4</f>
        <v>3.9331366764995081E-2</v>
      </c>
      <c r="F7" s="140">
        <f>C7/D7</f>
        <v>0</v>
      </c>
    </row>
    <row r="8" spans="1:6" ht="20.149999999999999" customHeight="1" x14ac:dyDescent="0.35">
      <c r="A8" s="135" t="s">
        <v>24</v>
      </c>
      <c r="B8" s="135">
        <v>197</v>
      </c>
      <c r="C8" s="135">
        <v>0</v>
      </c>
      <c r="D8" s="135">
        <v>197</v>
      </c>
      <c r="E8" s="139">
        <f>B8/B4</f>
        <v>0.19370698131760078</v>
      </c>
      <c r="F8" s="139">
        <f>C8/C4</f>
        <v>0</v>
      </c>
    </row>
    <row r="9" spans="1:6" ht="20.149999999999999" customHeight="1" x14ac:dyDescent="0.35">
      <c r="A9" s="135" t="s">
        <v>49</v>
      </c>
      <c r="B9" s="135">
        <v>308</v>
      </c>
      <c r="C9" s="138">
        <v>4</v>
      </c>
      <c r="D9" s="135">
        <v>312</v>
      </c>
      <c r="E9" s="139">
        <f>B9/B4</f>
        <v>0.30285152409046212</v>
      </c>
      <c r="F9" s="140">
        <v>0.33</v>
      </c>
    </row>
    <row r="10" spans="1:6" ht="20.149999999999999" customHeight="1" x14ac:dyDescent="0.35">
      <c r="A10" s="135" t="s">
        <v>50</v>
      </c>
      <c r="B10" s="135">
        <v>59</v>
      </c>
      <c r="C10" s="138">
        <v>0</v>
      </c>
      <c r="D10" s="135">
        <f>B10</f>
        <v>59</v>
      </c>
      <c r="E10" s="139">
        <f>B10/B9</f>
        <v>0.19155844155844157</v>
      </c>
      <c r="F10" s="140" t="s">
        <v>23</v>
      </c>
    </row>
    <row r="11" spans="1:6" ht="20.149999999999999" customHeight="1" x14ac:dyDescent="0.35">
      <c r="A11" s="135" t="s">
        <v>209</v>
      </c>
      <c r="B11" s="135"/>
      <c r="C11" s="135"/>
      <c r="D11" s="135"/>
      <c r="E11" s="142"/>
      <c r="F11" s="142"/>
    </row>
    <row r="12" spans="1:6" ht="20.149999999999999" customHeight="1" x14ac:dyDescent="0.35">
      <c r="A12" s="143" t="s">
        <v>205</v>
      </c>
      <c r="B12" s="139">
        <v>0.52</v>
      </c>
      <c r="C12" s="138" t="s">
        <v>23</v>
      </c>
      <c r="D12" s="138" t="s">
        <v>23</v>
      </c>
      <c r="E12" s="138" t="s">
        <v>23</v>
      </c>
      <c r="F12" s="138" t="s">
        <v>23</v>
      </c>
    </row>
    <row r="13" spans="1:6" ht="20.149999999999999" customHeight="1" x14ac:dyDescent="0.35">
      <c r="A13" s="143" t="s">
        <v>18</v>
      </c>
      <c r="B13" s="144">
        <v>0.44</v>
      </c>
      <c r="C13" s="138" t="s">
        <v>23</v>
      </c>
      <c r="D13" s="138" t="s">
        <v>23</v>
      </c>
      <c r="E13" s="138" t="s">
        <v>23</v>
      </c>
      <c r="F13" s="138" t="s">
        <v>23</v>
      </c>
    </row>
    <row r="14" spans="1:6" ht="20.149999999999999" customHeight="1" x14ac:dyDescent="0.35">
      <c r="A14" s="143" t="s">
        <v>210</v>
      </c>
      <c r="B14" s="144">
        <v>0.04</v>
      </c>
      <c r="C14" s="138" t="s">
        <v>23</v>
      </c>
      <c r="D14" s="138" t="s">
        <v>23</v>
      </c>
      <c r="E14" s="138" t="s">
        <v>23</v>
      </c>
      <c r="F14" s="138" t="s">
        <v>23</v>
      </c>
    </row>
    <row r="15" spans="1:6" ht="20.149999999999999" customHeight="1" x14ac:dyDescent="0.35">
      <c r="A15" s="135" t="s">
        <v>96</v>
      </c>
      <c r="B15" s="145">
        <v>44971</v>
      </c>
      <c r="C15" s="145">
        <v>45066</v>
      </c>
      <c r="D15" s="138" t="s">
        <v>23</v>
      </c>
      <c r="E15" s="138" t="s">
        <v>23</v>
      </c>
      <c r="F15" s="138" t="s">
        <v>23</v>
      </c>
    </row>
    <row r="16" spans="1:6" ht="20.149999999999999" customHeight="1" x14ac:dyDescent="0.35">
      <c r="A16" s="135" t="s">
        <v>97</v>
      </c>
      <c r="B16" s="145">
        <v>45109</v>
      </c>
      <c r="C16" s="138" t="s">
        <v>23</v>
      </c>
      <c r="D16" s="138" t="s">
        <v>23</v>
      </c>
      <c r="E16" s="138" t="s">
        <v>23</v>
      </c>
      <c r="F16" s="138" t="s">
        <v>23</v>
      </c>
    </row>
    <row r="17" spans="1:16" ht="10" customHeight="1" x14ac:dyDescent="0.35">
      <c r="A17" s="146"/>
      <c r="B17" s="146"/>
      <c r="C17" s="146"/>
      <c r="D17" s="146"/>
      <c r="E17" s="146"/>
      <c r="F17" s="147"/>
    </row>
    <row r="18" spans="1:16" ht="25" customHeight="1" x14ac:dyDescent="0.35">
      <c r="A18" s="132" t="s">
        <v>31</v>
      </c>
      <c r="B18" s="148"/>
      <c r="C18" s="148"/>
      <c r="D18" s="148"/>
      <c r="E18" s="148"/>
      <c r="F18" s="148"/>
    </row>
    <row r="19" spans="1:16" ht="25" customHeight="1" x14ac:dyDescent="0.35">
      <c r="A19" s="132"/>
      <c r="B19" s="148"/>
      <c r="C19" s="149" t="s">
        <v>229</v>
      </c>
      <c r="D19" s="148"/>
      <c r="E19" s="148"/>
      <c r="F19" s="148"/>
    </row>
    <row r="20" spans="1:16" ht="20.149999999999999" customHeight="1" x14ac:dyDescent="0.35">
      <c r="A20" s="150" t="s">
        <v>228</v>
      </c>
      <c r="B20" s="151">
        <v>670</v>
      </c>
      <c r="C20" s="152">
        <f>B20/D4</f>
        <v>0.65621939275220376</v>
      </c>
      <c r="D20" s="135"/>
      <c r="E20" s="153"/>
      <c r="F20" s="139"/>
    </row>
    <row r="21" spans="1:16" ht="20.149999999999999" customHeight="1" x14ac:dyDescent="0.35">
      <c r="A21" s="154" t="s">
        <v>231</v>
      </c>
      <c r="B21" s="151"/>
      <c r="C21" s="152"/>
      <c r="D21" s="135"/>
      <c r="E21" s="153"/>
      <c r="F21" s="139"/>
    </row>
    <row r="22" spans="1:16" ht="20.149999999999999" customHeight="1" x14ac:dyDescent="0.35">
      <c r="A22" s="143" t="s">
        <v>7</v>
      </c>
      <c r="B22" s="135">
        <v>113</v>
      </c>
      <c r="C22" s="138"/>
      <c r="D22" s="135"/>
      <c r="E22" s="139"/>
    </row>
    <row r="23" spans="1:16" ht="20.149999999999999" customHeight="1" x14ac:dyDescent="0.35">
      <c r="A23" s="143" t="s">
        <v>187</v>
      </c>
      <c r="B23" s="135">
        <v>93</v>
      </c>
      <c r="C23" s="138"/>
      <c r="D23" s="135"/>
      <c r="E23" s="139"/>
    </row>
    <row r="24" spans="1:16" ht="20.149999999999999" customHeight="1" x14ac:dyDescent="0.35">
      <c r="A24" s="143" t="s">
        <v>6</v>
      </c>
      <c r="B24" s="135">
        <v>87</v>
      </c>
      <c r="C24" s="138"/>
      <c r="D24" s="135"/>
      <c r="E24" s="139"/>
      <c r="O24" s="29"/>
      <c r="P24" s="18"/>
    </row>
    <row r="25" spans="1:16" ht="20.149999999999999" customHeight="1" x14ac:dyDescent="0.35">
      <c r="A25" s="143" t="s">
        <v>47</v>
      </c>
      <c r="B25" s="135">
        <v>46</v>
      </c>
      <c r="C25" s="138"/>
      <c r="D25" s="135"/>
      <c r="E25" s="139"/>
      <c r="F25" s="156"/>
    </row>
    <row r="26" spans="1:16" ht="10" customHeight="1" x14ac:dyDescent="0.35">
      <c r="A26" s="308"/>
      <c r="B26" s="308"/>
      <c r="C26" s="308"/>
      <c r="D26" s="308"/>
      <c r="E26" s="308"/>
      <c r="F26" s="308"/>
    </row>
    <row r="27" spans="1:16" ht="20.149999999999999" customHeight="1" x14ac:dyDescent="0.35">
      <c r="A27" s="135" t="s">
        <v>230</v>
      </c>
      <c r="B27" s="135">
        <v>351</v>
      </c>
      <c r="C27" s="140">
        <f>B27/D4</f>
        <v>0.3437806072477963</v>
      </c>
      <c r="D27" s="135"/>
      <c r="E27" s="139"/>
      <c r="F27" s="140"/>
    </row>
    <row r="28" spans="1:16" ht="25" customHeight="1" x14ac:dyDescent="0.35">
      <c r="A28" s="157" t="s">
        <v>216</v>
      </c>
      <c r="B28" s="135"/>
      <c r="C28" s="135"/>
      <c r="D28" s="135"/>
      <c r="E28" s="135"/>
      <c r="F28" s="135"/>
    </row>
    <row r="29" spans="1:16" ht="20.149999999999999" customHeight="1" x14ac:dyDescent="0.35">
      <c r="A29" s="143" t="s">
        <v>55</v>
      </c>
      <c r="B29" s="135">
        <v>42</v>
      </c>
      <c r="C29" s="138"/>
      <c r="D29" s="135"/>
      <c r="E29" s="158"/>
      <c r="F29" s="156"/>
      <c r="K29" s="29"/>
      <c r="L29" s="18"/>
    </row>
    <row r="30" spans="1:16" ht="20.149999999999999" customHeight="1" x14ac:dyDescent="0.35">
      <c r="A30" s="143" t="s">
        <v>56</v>
      </c>
      <c r="B30" s="135">
        <v>34</v>
      </c>
      <c r="C30" s="138"/>
      <c r="D30" s="135"/>
      <c r="E30" s="158"/>
      <c r="F30" s="156"/>
      <c r="K30" s="29"/>
      <c r="L30" s="18"/>
    </row>
    <row r="31" spans="1:16" ht="20.149999999999999" customHeight="1" x14ac:dyDescent="0.35">
      <c r="A31" s="143" t="s">
        <v>236</v>
      </c>
      <c r="B31" s="135">
        <v>30</v>
      </c>
      <c r="C31" s="138"/>
      <c r="D31" s="135"/>
      <c r="E31" s="158"/>
      <c r="F31" s="156"/>
      <c r="K31" s="29"/>
      <c r="L31" s="18"/>
    </row>
    <row r="32" spans="1:16" ht="20.149999999999999" customHeight="1" x14ac:dyDescent="0.35">
      <c r="A32" s="143" t="s">
        <v>237</v>
      </c>
      <c r="B32" s="135">
        <v>16</v>
      </c>
      <c r="C32" s="138"/>
      <c r="D32" s="135"/>
      <c r="E32" s="158"/>
      <c r="F32" s="156"/>
      <c r="K32" s="29"/>
      <c r="L32" s="18"/>
    </row>
    <row r="33" spans="1:47" ht="20.149999999999999" customHeight="1" x14ac:dyDescent="0.35">
      <c r="A33" s="143" t="s">
        <v>191</v>
      </c>
      <c r="B33" s="135">
        <v>14</v>
      </c>
      <c r="C33" s="138"/>
      <c r="D33" s="135"/>
      <c r="E33" s="158"/>
      <c r="F33" s="156"/>
      <c r="K33" s="29"/>
      <c r="L33" s="18"/>
    </row>
    <row r="34" spans="1:47" ht="25" customHeight="1" x14ac:dyDescent="0.35">
      <c r="A34" s="157" t="s">
        <v>238</v>
      </c>
      <c r="B34" s="308"/>
      <c r="C34" s="308"/>
      <c r="D34" s="308"/>
      <c r="E34" s="308"/>
      <c r="F34" s="308"/>
    </row>
    <row r="35" spans="1:47" ht="0.75" customHeight="1" x14ac:dyDescent="0.35">
      <c r="A35" s="157"/>
      <c r="B35" s="159"/>
      <c r="C35" s="159"/>
      <c r="D35" s="159"/>
      <c r="E35" s="159"/>
      <c r="F35" s="159"/>
    </row>
    <row r="36" spans="1:47" s="163" customFormat="1" ht="53.25" customHeight="1" x14ac:dyDescent="0.35">
      <c r="A36" s="160" t="s">
        <v>239</v>
      </c>
      <c r="B36" s="161">
        <v>114</v>
      </c>
      <c r="C36" s="161"/>
      <c r="D36" s="162"/>
      <c r="E36" s="162"/>
      <c r="F36" s="162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106"/>
      <c r="AA36" s="106"/>
      <c r="AB36" s="106"/>
      <c r="AC36" s="106"/>
      <c r="AD36" s="106"/>
      <c r="AE36" s="106"/>
      <c r="AF36" s="106"/>
      <c r="AG36" s="106"/>
      <c r="AH36" s="106"/>
      <c r="AI36" s="106"/>
      <c r="AJ36" s="106"/>
      <c r="AK36" s="106"/>
      <c r="AL36" s="106"/>
      <c r="AM36" s="106"/>
      <c r="AN36" s="106"/>
      <c r="AO36" s="106"/>
      <c r="AP36" s="106"/>
      <c r="AQ36" s="106"/>
      <c r="AR36" s="106"/>
      <c r="AS36" s="106"/>
      <c r="AT36" s="106"/>
      <c r="AU36" s="106"/>
    </row>
    <row r="37" spans="1:47" s="163" customFormat="1" ht="43.5" customHeight="1" x14ac:dyDescent="0.35">
      <c r="A37" s="160" t="s">
        <v>240</v>
      </c>
      <c r="B37" s="161">
        <v>56</v>
      </c>
      <c r="C37" s="161"/>
      <c r="D37" s="162"/>
      <c r="E37" s="162"/>
      <c r="F37" s="162"/>
      <c r="G37" s="106"/>
      <c r="H37" s="106"/>
      <c r="I37" s="106"/>
      <c r="J37" s="106"/>
      <c r="K37" s="106"/>
      <c r="L37" s="106"/>
      <c r="M37" s="106"/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106"/>
      <c r="AA37" s="106"/>
      <c r="AB37" s="106"/>
      <c r="AC37" s="106"/>
      <c r="AD37" s="106"/>
      <c r="AE37" s="106"/>
      <c r="AF37" s="106"/>
      <c r="AG37" s="106"/>
      <c r="AH37" s="106"/>
      <c r="AI37" s="106"/>
      <c r="AJ37" s="106"/>
      <c r="AK37" s="106"/>
      <c r="AL37" s="106"/>
      <c r="AM37" s="106"/>
      <c r="AN37" s="106"/>
      <c r="AO37" s="106"/>
      <c r="AP37" s="106"/>
      <c r="AQ37" s="106"/>
      <c r="AR37" s="106"/>
      <c r="AS37" s="106"/>
      <c r="AT37" s="106"/>
      <c r="AU37" s="106"/>
    </row>
    <row r="38" spans="1:47" ht="20.149999999999999" customHeight="1" x14ac:dyDescent="0.35">
      <c r="A38" s="160"/>
      <c r="B38" s="135"/>
      <c r="C38" s="138"/>
      <c r="D38" s="164"/>
      <c r="E38" s="164"/>
      <c r="F38" s="164"/>
    </row>
    <row r="39" spans="1:47" ht="10" customHeight="1" x14ac:dyDescent="0.35">
      <c r="A39" s="309"/>
      <c r="B39" s="309"/>
      <c r="C39" s="309"/>
      <c r="D39" s="309"/>
      <c r="E39" s="309"/>
      <c r="F39" s="309"/>
    </row>
    <row r="40" spans="1:47" ht="25" customHeight="1" x14ac:dyDescent="0.35">
      <c r="A40" s="165" t="s">
        <v>217</v>
      </c>
      <c r="B40" s="165"/>
      <c r="C40" s="165"/>
      <c r="D40" s="148"/>
      <c r="E40" s="148"/>
      <c r="F40" s="148"/>
    </row>
    <row r="41" spans="1:47" ht="25" customHeight="1" x14ac:dyDescent="0.35">
      <c r="A41" s="166" t="s">
        <v>43</v>
      </c>
      <c r="B41" s="138" t="s">
        <v>241</v>
      </c>
      <c r="C41" s="138" t="s">
        <v>242</v>
      </c>
      <c r="D41" s="148"/>
      <c r="E41" s="148"/>
      <c r="F41" s="148"/>
    </row>
    <row r="42" spans="1:47" ht="25" customHeight="1" x14ac:dyDescent="0.35">
      <c r="A42" s="166" t="s">
        <v>44</v>
      </c>
      <c r="B42" s="138" t="s">
        <v>243</v>
      </c>
      <c r="C42" s="138">
        <v>0</v>
      </c>
      <c r="D42" s="148"/>
      <c r="E42" s="148"/>
      <c r="F42" s="148"/>
    </row>
    <row r="43" spans="1:47" ht="20.149999999999999" customHeight="1" x14ac:dyDescent="0.35">
      <c r="A43" s="135" t="s">
        <v>60</v>
      </c>
      <c r="B43" s="138" t="s">
        <v>244</v>
      </c>
      <c r="C43" s="138" t="s">
        <v>245</v>
      </c>
      <c r="D43" s="135"/>
      <c r="E43" s="135"/>
      <c r="F43" s="139"/>
    </row>
    <row r="44" spans="1:47" ht="20.149999999999999" customHeight="1" x14ac:dyDescent="0.35">
      <c r="A44" s="135" t="s">
        <v>197</v>
      </c>
      <c r="B44" s="138" t="s">
        <v>246</v>
      </c>
      <c r="C44" s="138" t="s">
        <v>245</v>
      </c>
      <c r="D44" s="135"/>
      <c r="E44" s="135"/>
      <c r="F44" s="139"/>
    </row>
    <row r="45" spans="1:47" ht="20.149999999999999" customHeight="1" x14ac:dyDescent="0.35">
      <c r="A45" s="135" t="s">
        <v>9</v>
      </c>
      <c r="B45" s="138" t="s">
        <v>247</v>
      </c>
      <c r="C45" s="138">
        <v>0</v>
      </c>
      <c r="D45" s="135"/>
      <c r="E45" s="135"/>
      <c r="F45" s="139"/>
    </row>
    <row r="46" spans="1:47" ht="20.149999999999999" customHeight="1" x14ac:dyDescent="0.35">
      <c r="A46" s="135" t="s">
        <v>196</v>
      </c>
      <c r="B46" s="138" t="s">
        <v>247</v>
      </c>
      <c r="C46" s="138">
        <v>0</v>
      </c>
      <c r="D46" s="135"/>
      <c r="E46" s="135"/>
      <c r="F46" s="139"/>
    </row>
    <row r="47" spans="1:47" ht="20.149999999999999" customHeight="1" x14ac:dyDescent="0.35">
      <c r="A47" s="135" t="s">
        <v>10</v>
      </c>
      <c r="B47" s="138" t="s">
        <v>248</v>
      </c>
      <c r="C47" s="138" t="s">
        <v>249</v>
      </c>
      <c r="D47" s="135"/>
      <c r="E47" s="135"/>
      <c r="F47" s="139"/>
    </row>
    <row r="48" spans="1:47" ht="20.149999999999999" customHeight="1" x14ac:dyDescent="0.35">
      <c r="A48" s="135" t="s">
        <v>194</v>
      </c>
      <c r="B48" s="138" t="s">
        <v>248</v>
      </c>
      <c r="C48" s="138" t="s">
        <v>250</v>
      </c>
      <c r="D48" s="135"/>
      <c r="E48" s="135"/>
      <c r="F48" s="139"/>
    </row>
    <row r="49" spans="1:6" ht="20.149999999999999" customHeight="1" x14ac:dyDescent="0.35">
      <c r="A49" s="135" t="s">
        <v>61</v>
      </c>
      <c r="B49" s="138" t="s">
        <v>251</v>
      </c>
      <c r="C49" s="138">
        <v>0</v>
      </c>
      <c r="D49" s="135"/>
      <c r="E49" s="135"/>
      <c r="F49" s="139"/>
    </row>
    <row r="50" spans="1:6" ht="20.149999999999999" customHeight="1" x14ac:dyDescent="0.35">
      <c r="A50" s="135" t="s">
        <v>195</v>
      </c>
      <c r="B50" s="138" t="s">
        <v>251</v>
      </c>
      <c r="C50" s="138">
        <v>0</v>
      </c>
      <c r="D50" s="135"/>
      <c r="E50" s="135"/>
      <c r="F50" s="139"/>
    </row>
    <row r="51" spans="1:6" ht="10" customHeight="1" x14ac:dyDescent="0.35">
      <c r="A51" s="309"/>
      <c r="B51" s="309"/>
      <c r="C51" s="309"/>
      <c r="D51" s="309"/>
      <c r="E51" s="309"/>
      <c r="F51" s="309"/>
    </row>
    <row r="52" spans="1:6" ht="25" customHeight="1" x14ac:dyDescent="0.35">
      <c r="A52" s="132" t="s">
        <v>45</v>
      </c>
      <c r="B52" s="148"/>
      <c r="C52" s="148"/>
      <c r="D52" s="148"/>
      <c r="E52" s="148"/>
      <c r="F52" s="148"/>
    </row>
    <row r="53" spans="1:6" ht="25" customHeight="1" x14ac:dyDescent="0.35">
      <c r="A53" s="166" t="s">
        <v>88</v>
      </c>
      <c r="B53" s="138"/>
      <c r="C53" s="148"/>
      <c r="D53" s="148"/>
      <c r="E53" s="148"/>
      <c r="F53" s="148"/>
    </row>
    <row r="54" spans="1:6" ht="20.149999999999999" customHeight="1" x14ac:dyDescent="0.35">
      <c r="A54" s="143" t="s">
        <v>25</v>
      </c>
      <c r="B54" s="167">
        <v>0.74</v>
      </c>
      <c r="E54" s="155"/>
    </row>
    <row r="55" spans="1:6" ht="20.149999999999999" customHeight="1" x14ac:dyDescent="0.35">
      <c r="A55" s="143" t="s">
        <v>26</v>
      </c>
      <c r="B55" s="167">
        <v>0.26</v>
      </c>
      <c r="E55" s="155"/>
    </row>
    <row r="56" spans="1:6" ht="20.149999999999999" customHeight="1" x14ac:dyDescent="0.35">
      <c r="A56" s="135" t="s">
        <v>80</v>
      </c>
      <c r="B56" s="138"/>
      <c r="C56" s="135"/>
      <c r="D56" s="135"/>
      <c r="E56" s="135"/>
      <c r="F56" s="139"/>
    </row>
    <row r="57" spans="1:6" ht="20.149999999999999" customHeight="1" x14ac:dyDescent="0.35">
      <c r="A57" s="143" t="s">
        <v>25</v>
      </c>
      <c r="B57" s="138">
        <v>33</v>
      </c>
    </row>
    <row r="58" spans="1:6" ht="20.149999999999999" customHeight="1" x14ac:dyDescent="0.35">
      <c r="A58" s="143" t="s">
        <v>26</v>
      </c>
      <c r="B58" s="138">
        <v>30</v>
      </c>
    </row>
    <row r="59" spans="1:6" ht="10" customHeight="1" x14ac:dyDescent="0.35">
      <c r="A59" s="168"/>
      <c r="B59" s="169"/>
      <c r="C59" s="170"/>
      <c r="D59" s="170"/>
      <c r="E59" s="170"/>
      <c r="F59" s="171"/>
    </row>
    <row r="60" spans="1:6" x14ac:dyDescent="0.35">
      <c r="A60" s="132" t="s">
        <v>46</v>
      </c>
      <c r="B60" s="138"/>
    </row>
    <row r="61" spans="1:6" ht="20.149999999999999" customHeight="1" x14ac:dyDescent="0.35">
      <c r="A61" s="172" t="s">
        <v>34</v>
      </c>
    </row>
    <row r="62" spans="1:6" ht="16.5" customHeight="1" x14ac:dyDescent="0.35">
      <c r="A62" s="143" t="s">
        <v>25</v>
      </c>
      <c r="B62" s="138">
        <v>24</v>
      </c>
      <c r="E62" s="155"/>
    </row>
    <row r="63" spans="1:6" ht="14.25" customHeight="1" x14ac:dyDescent="0.35">
      <c r="A63" s="143" t="s">
        <v>26</v>
      </c>
      <c r="B63" s="138">
        <v>17</v>
      </c>
      <c r="E63" s="155"/>
    </row>
    <row r="64" spans="1:6" ht="12.75" customHeight="1" x14ac:dyDescent="0.35">
      <c r="A64" s="143"/>
      <c r="B64" s="138">
        <v>41</v>
      </c>
      <c r="E64" s="155"/>
    </row>
    <row r="65" spans="1:47" ht="20.149999999999999" customHeight="1" x14ac:dyDescent="0.35">
      <c r="A65" s="135" t="s">
        <v>35</v>
      </c>
      <c r="B65" s="135"/>
      <c r="C65" s="135"/>
      <c r="D65" s="135"/>
      <c r="E65" s="135"/>
      <c r="F65" s="139"/>
    </row>
    <row r="66" spans="1:47" ht="20.149999999999999" customHeight="1" x14ac:dyDescent="0.35">
      <c r="A66" s="143" t="s">
        <v>25</v>
      </c>
      <c r="B66" s="138">
        <v>36</v>
      </c>
      <c r="C66" s="135"/>
      <c r="D66" s="135"/>
      <c r="E66" s="135"/>
      <c r="F66" s="139"/>
    </row>
    <row r="67" spans="1:47" ht="20.149999999999999" customHeight="1" x14ac:dyDescent="0.35">
      <c r="A67" s="143" t="s">
        <v>26</v>
      </c>
      <c r="B67" s="138">
        <v>34</v>
      </c>
      <c r="C67" s="135"/>
      <c r="D67" s="135"/>
      <c r="E67" s="135"/>
      <c r="F67" s="139"/>
    </row>
    <row r="68" spans="1:47" ht="10" customHeight="1" x14ac:dyDescent="0.35">
      <c r="A68" s="170"/>
      <c r="B68" s="170"/>
      <c r="C68" s="170"/>
      <c r="D68" s="170"/>
      <c r="E68" s="170"/>
      <c r="F68" s="171"/>
    </row>
    <row r="69" spans="1:47" ht="18.75" customHeight="1" x14ac:dyDescent="0.35">
      <c r="A69" s="132" t="s">
        <v>40</v>
      </c>
      <c r="F69" s="173"/>
    </row>
    <row r="70" spans="1:47" ht="17.25" customHeight="1" x14ac:dyDescent="0.35">
      <c r="A70" s="135" t="s">
        <v>74</v>
      </c>
    </row>
    <row r="71" spans="1:47" ht="15.75" customHeight="1" x14ac:dyDescent="0.35">
      <c r="A71" s="138" t="s">
        <v>252</v>
      </c>
      <c r="B71" s="174">
        <v>1</v>
      </c>
      <c r="C71" s="174"/>
      <c r="D71" s="174"/>
      <c r="E71" s="174"/>
      <c r="F71" s="156"/>
    </row>
    <row r="72" spans="1:47" s="143" customFormat="1" ht="20.149999999999999" customHeight="1" x14ac:dyDescent="0.3">
      <c r="A72" s="143" t="s">
        <v>37</v>
      </c>
      <c r="B72" s="138">
        <v>99</v>
      </c>
      <c r="C72" s="138"/>
      <c r="F72" s="175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  <c r="AU72" s="29"/>
    </row>
    <row r="73" spans="1:47" s="143" customFormat="1" ht="20.149999999999999" customHeight="1" x14ac:dyDescent="0.3">
      <c r="A73" s="143" t="s">
        <v>38</v>
      </c>
      <c r="B73" s="138">
        <v>165</v>
      </c>
      <c r="C73" s="138"/>
      <c r="F73" s="175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  <c r="AT73" s="29"/>
      <c r="AU73" s="29"/>
    </row>
    <row r="74" spans="1:47" ht="20.149999999999999" customHeight="1" x14ac:dyDescent="0.35">
      <c r="A74" s="143" t="s">
        <v>1</v>
      </c>
      <c r="B74" s="138">
        <v>47</v>
      </c>
      <c r="C74" s="138"/>
      <c r="D74" s="138"/>
      <c r="E74" s="138"/>
      <c r="F74" s="140"/>
    </row>
    <row r="75" spans="1:47" ht="18" customHeight="1" x14ac:dyDescent="0.35">
      <c r="A75" s="304" t="s">
        <v>75</v>
      </c>
      <c r="B75" s="304"/>
      <c r="C75" s="304"/>
      <c r="D75" s="304"/>
      <c r="E75" s="304"/>
      <c r="F75" s="304"/>
    </row>
    <row r="76" spans="1:47" ht="20.149999999999999" customHeight="1" x14ac:dyDescent="0.35">
      <c r="A76" s="176">
        <v>45075</v>
      </c>
      <c r="B76" s="135">
        <v>48</v>
      </c>
      <c r="C76" s="135"/>
      <c r="D76" s="135"/>
      <c r="E76" s="135"/>
      <c r="F76" s="177"/>
    </row>
    <row r="77" spans="1:47" ht="20.149999999999999" customHeight="1" x14ac:dyDescent="0.35">
      <c r="A77" s="176">
        <v>45082</v>
      </c>
      <c r="B77" s="135">
        <v>60</v>
      </c>
      <c r="C77" s="135"/>
      <c r="D77" s="135"/>
      <c r="E77" s="135"/>
      <c r="F77" s="177"/>
    </row>
    <row r="78" spans="1:47" ht="20.149999999999999" customHeight="1" x14ac:dyDescent="0.35">
      <c r="A78" s="176">
        <v>45108</v>
      </c>
      <c r="B78" s="135">
        <v>35</v>
      </c>
      <c r="C78" s="135"/>
      <c r="D78" s="135"/>
      <c r="E78" s="135"/>
      <c r="F78" s="177"/>
    </row>
    <row r="79" spans="1:47" ht="10" customHeight="1" x14ac:dyDescent="0.35">
      <c r="A79" s="146"/>
      <c r="B79" s="146"/>
      <c r="C79" s="146"/>
      <c r="D79" s="146"/>
      <c r="E79" s="146"/>
      <c r="F79" s="147"/>
    </row>
    <row r="80" spans="1:47" ht="25" customHeight="1" x14ac:dyDescent="0.35">
      <c r="A80" s="132" t="s">
        <v>234</v>
      </c>
      <c r="B80" s="135"/>
      <c r="C80" s="135"/>
      <c r="D80" s="135"/>
      <c r="E80" s="135"/>
      <c r="F80" s="177"/>
    </row>
    <row r="81" spans="1:6" ht="25" customHeight="1" x14ac:dyDescent="0.35">
      <c r="A81" s="304" t="s">
        <v>68</v>
      </c>
      <c r="B81" s="305" t="s">
        <v>3</v>
      </c>
      <c r="C81" s="305"/>
      <c r="E81" s="306" t="s">
        <v>4</v>
      </c>
      <c r="F81" s="306"/>
    </row>
    <row r="82" spans="1:6" ht="14.25" customHeight="1" x14ac:dyDescent="0.35">
      <c r="A82" s="304"/>
      <c r="B82" s="149" t="s">
        <v>52</v>
      </c>
      <c r="C82" s="148" t="s">
        <v>51</v>
      </c>
      <c r="D82" s="178" t="s">
        <v>95</v>
      </c>
      <c r="E82" s="148" t="s">
        <v>52</v>
      </c>
      <c r="F82" s="148" t="s">
        <v>51</v>
      </c>
    </row>
    <row r="83" spans="1:6" ht="20.149999999999999" customHeight="1" x14ac:dyDescent="0.35">
      <c r="A83" s="143" t="s">
        <v>253</v>
      </c>
      <c r="B83" s="135">
        <v>961</v>
      </c>
      <c r="C83" s="138">
        <v>290</v>
      </c>
      <c r="D83" s="139">
        <f>C83/B83</f>
        <v>0.30176899063475549</v>
      </c>
      <c r="E83" s="135"/>
      <c r="F83" s="140"/>
    </row>
    <row r="84" spans="1:6" ht="20.149999999999999" customHeight="1" x14ac:dyDescent="0.35">
      <c r="A84" s="143" t="s">
        <v>254</v>
      </c>
      <c r="B84" s="135">
        <v>15</v>
      </c>
      <c r="C84" s="138">
        <v>7</v>
      </c>
      <c r="D84" s="139">
        <f>C84/B84</f>
        <v>0.46666666666666667</v>
      </c>
      <c r="E84" s="135"/>
      <c r="F84" s="140"/>
    </row>
    <row r="85" spans="1:6" ht="20.149999999999999" customHeight="1" x14ac:dyDescent="0.35">
      <c r="A85" s="143" t="s">
        <v>255</v>
      </c>
      <c r="B85" s="135">
        <v>9</v>
      </c>
      <c r="C85" s="138">
        <v>0</v>
      </c>
      <c r="D85" s="139">
        <v>0</v>
      </c>
      <c r="E85" s="135"/>
      <c r="F85" s="140"/>
    </row>
    <row r="86" spans="1:6" ht="20.149999999999999" customHeight="1" x14ac:dyDescent="0.35">
      <c r="A86" s="143" t="s">
        <v>204</v>
      </c>
      <c r="B86" s="135">
        <v>4</v>
      </c>
      <c r="C86" s="138">
        <v>3</v>
      </c>
      <c r="D86" s="139">
        <f>C86/B86</f>
        <v>0.75</v>
      </c>
      <c r="E86" s="135"/>
      <c r="F86" s="140"/>
    </row>
    <row r="87" spans="1:6" ht="20.149999999999999" customHeight="1" x14ac:dyDescent="0.35">
      <c r="A87" s="143" t="s">
        <v>256</v>
      </c>
      <c r="B87" s="135">
        <v>19</v>
      </c>
      <c r="C87" s="138">
        <v>8</v>
      </c>
      <c r="D87" s="139">
        <f>C87/B87</f>
        <v>0.42105263157894735</v>
      </c>
      <c r="E87" s="135"/>
      <c r="F87" s="140"/>
    </row>
    <row r="88" spans="1:6" ht="20.149999999999999" customHeight="1" x14ac:dyDescent="0.35">
      <c r="A88" s="143" t="s">
        <v>257</v>
      </c>
      <c r="B88" s="135">
        <v>9</v>
      </c>
      <c r="C88" s="138">
        <v>0</v>
      </c>
      <c r="D88" s="139">
        <f>C88/B88</f>
        <v>0</v>
      </c>
      <c r="E88" s="135"/>
      <c r="F88" s="140"/>
    </row>
    <row r="89" spans="1:6" ht="20.149999999999999" customHeight="1" x14ac:dyDescent="0.35">
      <c r="D89" s="167"/>
      <c r="F89" s="135"/>
    </row>
    <row r="90" spans="1:6" ht="20.149999999999999" customHeight="1" x14ac:dyDescent="0.35">
      <c r="A90" s="143" t="s">
        <v>258</v>
      </c>
      <c r="B90" s="148"/>
      <c r="C90" s="138"/>
      <c r="D90" s="139"/>
      <c r="E90" s="138">
        <v>10</v>
      </c>
      <c r="F90" s="138">
        <v>4</v>
      </c>
    </row>
    <row r="91" spans="1:6" ht="10" customHeight="1" x14ac:dyDescent="0.35">
      <c r="A91" s="146"/>
      <c r="B91" s="146"/>
      <c r="C91" s="146"/>
      <c r="D91" s="146"/>
      <c r="E91" s="146"/>
      <c r="F91" s="147"/>
    </row>
    <row r="92" spans="1:6" ht="25" customHeight="1" x14ac:dyDescent="0.35">
      <c r="A92" s="179" t="s">
        <v>39</v>
      </c>
      <c r="B92" s="135"/>
      <c r="C92" s="135"/>
      <c r="D92" s="135"/>
      <c r="E92" s="135"/>
      <c r="F92" s="177"/>
    </row>
    <row r="93" spans="1:6" ht="28.5" customHeight="1" x14ac:dyDescent="0.35">
      <c r="A93" s="135" t="s">
        <v>226</v>
      </c>
      <c r="B93" s="180" t="s">
        <v>19</v>
      </c>
      <c r="C93" s="159" t="s">
        <v>18</v>
      </c>
      <c r="D93" s="180"/>
      <c r="E93" s="180"/>
      <c r="F93" s="181"/>
    </row>
    <row r="94" spans="1:6" ht="20.149999999999999" customHeight="1" x14ac:dyDescent="0.35">
      <c r="A94" s="143" t="s">
        <v>16</v>
      </c>
      <c r="B94" s="138" t="s">
        <v>259</v>
      </c>
      <c r="C94" s="138" t="s">
        <v>259</v>
      </c>
      <c r="E94" s="138"/>
      <c r="F94" s="139"/>
    </row>
    <row r="95" spans="1:6" ht="20.149999999999999" customHeight="1" x14ac:dyDescent="0.35">
      <c r="A95" s="143" t="s">
        <v>4</v>
      </c>
      <c r="B95" s="138" t="s">
        <v>260</v>
      </c>
      <c r="C95" s="138" t="s">
        <v>23</v>
      </c>
      <c r="D95" s="138"/>
      <c r="E95" s="138"/>
      <c r="F95" s="139"/>
    </row>
    <row r="96" spans="1:6" x14ac:dyDescent="0.35">
      <c r="A96" s="135" t="s">
        <v>227</v>
      </c>
    </row>
    <row r="97" spans="1:3" x14ac:dyDescent="0.35">
      <c r="A97" s="143" t="s">
        <v>16</v>
      </c>
      <c r="B97" s="138" t="s">
        <v>261</v>
      </c>
      <c r="C97" s="138" t="s">
        <v>261</v>
      </c>
    </row>
    <row r="98" spans="1:3" x14ac:dyDescent="0.35">
      <c r="A98" s="143"/>
      <c r="B98" s="174"/>
      <c r="C98" s="174"/>
    </row>
    <row r="99" spans="1:3" x14ac:dyDescent="0.35">
      <c r="A99" s="135" t="s">
        <v>262</v>
      </c>
      <c r="B99" s="138" t="s">
        <v>263</v>
      </c>
    </row>
  </sheetData>
  <mergeCells count="9">
    <mergeCell ref="B81:C81"/>
    <mergeCell ref="E81:F81"/>
    <mergeCell ref="A1:F1"/>
    <mergeCell ref="A26:F26"/>
    <mergeCell ref="B34:F34"/>
    <mergeCell ref="A39:F39"/>
    <mergeCell ref="A51:F51"/>
    <mergeCell ref="A75:F75"/>
    <mergeCell ref="A81:A82"/>
  </mergeCells>
  <printOptions horizontalCentered="1" gridLines="1"/>
  <pageMargins left="0.25" right="0.25" top="0.75" bottom="0.75" header="0.3" footer="0.3"/>
  <pageSetup scale="73" fitToWidth="2" fitToHeight="2" orientation="portrait" r:id="rId1"/>
  <rowBreaks count="2" manualBreakCount="2">
    <brk id="52" max="16383" man="1"/>
    <brk id="78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39AAD-CCBB-437B-86F4-CE2B31F41453}">
  <sheetPr>
    <tabColor theme="7" tint="0.39997558519241921"/>
    <pageSetUpPr fitToPage="1"/>
  </sheetPr>
  <dimension ref="A1:O95"/>
  <sheetViews>
    <sheetView zoomScaleNormal="100" workbookViewId="0">
      <pane ySplit="2" topLeftCell="A79" activePane="bottomLeft" state="frozen"/>
      <selection pane="bottomLeft" activeCell="J15" sqref="J15"/>
    </sheetView>
  </sheetViews>
  <sheetFormatPr defaultColWidth="8.81640625" defaultRowHeight="14.5" x14ac:dyDescent="0.35"/>
  <cols>
    <col min="1" max="1" width="50.81640625" customWidth="1"/>
    <col min="2" max="4" width="9.81640625" customWidth="1"/>
    <col min="5" max="5" width="10.81640625" customWidth="1"/>
    <col min="6" max="6" width="10.81640625" style="5" customWidth="1"/>
  </cols>
  <sheetData>
    <row r="1" spans="1:7" ht="23.15" customHeight="1" x14ac:dyDescent="0.35">
      <c r="A1" s="323" t="s">
        <v>207</v>
      </c>
      <c r="B1" s="323"/>
      <c r="C1" s="323"/>
      <c r="D1" s="323"/>
      <c r="E1" s="323"/>
      <c r="F1" s="323"/>
    </row>
    <row r="2" spans="1:7" ht="45" customHeight="1" x14ac:dyDescent="0.35">
      <c r="A2" s="2"/>
      <c r="B2" s="3" t="s">
        <v>3</v>
      </c>
      <c r="C2" s="3" t="s">
        <v>4</v>
      </c>
      <c r="D2" s="3" t="s">
        <v>0</v>
      </c>
      <c r="E2" s="55" t="s">
        <v>93</v>
      </c>
      <c r="F2" s="4" t="s">
        <v>94</v>
      </c>
    </row>
    <row r="3" spans="1:7" ht="32.25" customHeight="1" x14ac:dyDescent="0.35">
      <c r="A3" s="39" t="s">
        <v>32</v>
      </c>
      <c r="B3" s="35"/>
      <c r="C3" s="35"/>
      <c r="D3" s="35"/>
      <c r="E3" s="35"/>
      <c r="F3" s="36"/>
    </row>
    <row r="4" spans="1:7" ht="20.149999999999999" customHeight="1" x14ac:dyDescent="0.35">
      <c r="A4" s="6" t="s">
        <v>41</v>
      </c>
      <c r="B4" s="6">
        <v>1127</v>
      </c>
      <c r="C4" s="6">
        <v>5</v>
      </c>
      <c r="D4" s="6">
        <v>1132</v>
      </c>
      <c r="E4" s="93">
        <f>B4/D4</f>
        <v>0.99558303886925792</v>
      </c>
      <c r="F4" s="96">
        <f>C4/D4</f>
        <v>4.4169611307420496E-3</v>
      </c>
      <c r="G4" s="1"/>
    </row>
    <row r="5" spans="1:7" ht="20.149999999999999" customHeight="1" x14ac:dyDescent="0.35">
      <c r="A5" s="6" t="s">
        <v>5</v>
      </c>
      <c r="B5" s="6">
        <v>574</v>
      </c>
      <c r="C5" s="10">
        <v>0</v>
      </c>
      <c r="D5" s="6">
        <v>574</v>
      </c>
      <c r="E5" s="8">
        <f>D5/B4</f>
        <v>0.50931677018633537</v>
      </c>
      <c r="F5" s="90">
        <f>C5/D5</f>
        <v>0</v>
      </c>
      <c r="G5" s="1"/>
    </row>
    <row r="6" spans="1:7" ht="20.149999999999999" customHeight="1" x14ac:dyDescent="0.35">
      <c r="A6" s="6" t="s">
        <v>42</v>
      </c>
      <c r="B6" s="6">
        <v>517</v>
      </c>
      <c r="C6" s="6">
        <v>5</v>
      </c>
      <c r="D6" s="6">
        <v>522</v>
      </c>
      <c r="E6" s="8">
        <f>D6/B4</f>
        <v>0.46317657497781722</v>
      </c>
      <c r="F6" s="90">
        <f>C6/D6</f>
        <v>9.5785440613026813E-3</v>
      </c>
      <c r="G6" s="1"/>
    </row>
    <row r="7" spans="1:7" ht="20.149999999999999" customHeight="1" x14ac:dyDescent="0.35">
      <c r="A7" s="97" t="s">
        <v>208</v>
      </c>
      <c r="B7" s="6">
        <v>36</v>
      </c>
      <c r="C7" s="6">
        <v>0</v>
      </c>
      <c r="D7" s="6">
        <v>36</v>
      </c>
      <c r="E7" s="8">
        <f>D7/B4</f>
        <v>3.1943212067435667E-2</v>
      </c>
      <c r="F7" s="90">
        <f>C7/D7</f>
        <v>0</v>
      </c>
      <c r="G7" s="1"/>
    </row>
    <row r="8" spans="1:7" ht="20.149999999999999" customHeight="1" x14ac:dyDescent="0.35">
      <c r="A8" s="6" t="s">
        <v>24</v>
      </c>
      <c r="B8" s="6">
        <v>178</v>
      </c>
      <c r="C8" s="6">
        <v>2</v>
      </c>
      <c r="D8" s="6">
        <f>B8+C8</f>
        <v>180</v>
      </c>
      <c r="E8" s="8">
        <f>B8/B4</f>
        <v>0.15794143744454303</v>
      </c>
      <c r="F8" s="23">
        <f>C8/C4</f>
        <v>0.4</v>
      </c>
      <c r="G8" s="1"/>
    </row>
    <row r="9" spans="1:7" ht="20.149999999999999" customHeight="1" x14ac:dyDescent="0.35">
      <c r="A9" s="17" t="s">
        <v>49</v>
      </c>
      <c r="B9" s="17">
        <v>780</v>
      </c>
      <c r="C9" s="28" t="s">
        <v>23</v>
      </c>
      <c r="D9" s="6">
        <f>B9</f>
        <v>780</v>
      </c>
      <c r="E9" s="51">
        <f>B9/B4</f>
        <v>0.69210292812777285</v>
      </c>
      <c r="F9" s="90" t="s">
        <v>23</v>
      </c>
      <c r="G9" s="1"/>
    </row>
    <row r="10" spans="1:7" ht="20.149999999999999" customHeight="1" x14ac:dyDescent="0.35">
      <c r="A10" s="17" t="s">
        <v>50</v>
      </c>
      <c r="B10" s="17">
        <v>113</v>
      </c>
      <c r="C10" s="28" t="s">
        <v>23</v>
      </c>
      <c r="D10" s="6">
        <f>B10</f>
        <v>113</v>
      </c>
      <c r="E10" s="23">
        <f>B10/B9</f>
        <v>0.14487179487179488</v>
      </c>
      <c r="F10" s="90" t="s">
        <v>23</v>
      </c>
      <c r="G10" s="1"/>
    </row>
    <row r="11" spans="1:7" ht="20.149999999999999" customHeight="1" x14ac:dyDescent="0.35">
      <c r="A11" s="17" t="s">
        <v>209</v>
      </c>
      <c r="B11" s="17"/>
      <c r="C11" s="18"/>
      <c r="D11" s="6"/>
      <c r="E11" s="95"/>
      <c r="F11" s="94"/>
      <c r="G11" s="1"/>
    </row>
    <row r="12" spans="1:7" ht="20.149999999999999" customHeight="1" x14ac:dyDescent="0.35">
      <c r="A12" s="16" t="s">
        <v>205</v>
      </c>
      <c r="B12" s="98">
        <v>0.47</v>
      </c>
      <c r="C12" s="28" t="s">
        <v>23</v>
      </c>
      <c r="D12" s="28" t="s">
        <v>23</v>
      </c>
      <c r="E12" s="28" t="s">
        <v>23</v>
      </c>
      <c r="F12" s="28" t="s">
        <v>23</v>
      </c>
      <c r="G12" s="1"/>
    </row>
    <row r="13" spans="1:7" ht="20.149999999999999" customHeight="1" x14ac:dyDescent="0.35">
      <c r="A13" s="16" t="s">
        <v>18</v>
      </c>
      <c r="B13" s="92">
        <v>0.5</v>
      </c>
      <c r="C13" s="28" t="s">
        <v>23</v>
      </c>
      <c r="D13" s="28" t="s">
        <v>23</v>
      </c>
      <c r="E13" s="28" t="s">
        <v>23</v>
      </c>
      <c r="F13" s="28" t="s">
        <v>23</v>
      </c>
      <c r="G13" s="1"/>
    </row>
    <row r="14" spans="1:7" ht="20.149999999999999" customHeight="1" x14ac:dyDescent="0.35">
      <c r="A14" s="48" t="s">
        <v>210</v>
      </c>
      <c r="B14" s="99">
        <v>0.03</v>
      </c>
      <c r="C14" s="28" t="s">
        <v>23</v>
      </c>
      <c r="D14" s="28" t="s">
        <v>23</v>
      </c>
      <c r="E14" s="28" t="s">
        <v>23</v>
      </c>
      <c r="F14" s="28" t="s">
        <v>23</v>
      </c>
      <c r="G14" s="1"/>
    </row>
    <row r="15" spans="1:7" ht="20.149999999999999" customHeight="1" x14ac:dyDescent="0.35">
      <c r="A15" s="59" t="s">
        <v>96</v>
      </c>
      <c r="B15" s="60">
        <v>44700</v>
      </c>
      <c r="C15" s="28" t="s">
        <v>23</v>
      </c>
      <c r="D15" s="28" t="s">
        <v>23</v>
      </c>
      <c r="E15" s="28" t="s">
        <v>23</v>
      </c>
      <c r="F15" s="28" t="s">
        <v>23</v>
      </c>
      <c r="G15" s="1"/>
    </row>
    <row r="16" spans="1:7" ht="20.149999999999999" customHeight="1" x14ac:dyDescent="0.35">
      <c r="A16" s="59" t="s">
        <v>97</v>
      </c>
      <c r="B16" s="60">
        <v>44745</v>
      </c>
      <c r="C16" s="28" t="s">
        <v>23</v>
      </c>
      <c r="D16" s="28" t="s">
        <v>23</v>
      </c>
      <c r="E16" s="28" t="s">
        <v>23</v>
      </c>
      <c r="F16" s="28" t="s">
        <v>23</v>
      </c>
      <c r="G16" s="1"/>
    </row>
    <row r="17" spans="1:7" ht="10" customHeight="1" x14ac:dyDescent="0.35">
      <c r="A17" s="13"/>
      <c r="B17" s="14"/>
      <c r="C17" s="14"/>
      <c r="D17" s="14"/>
      <c r="E17" s="14"/>
      <c r="F17" s="15"/>
      <c r="G17" s="1"/>
    </row>
    <row r="18" spans="1:7" ht="25" customHeight="1" x14ac:dyDescent="0.35">
      <c r="A18" s="38" t="s">
        <v>31</v>
      </c>
      <c r="B18" s="33"/>
      <c r="C18" s="33"/>
      <c r="D18" s="33"/>
      <c r="E18" s="33"/>
      <c r="F18" s="34"/>
      <c r="G18" s="1"/>
    </row>
    <row r="19" spans="1:7" ht="25" customHeight="1" x14ac:dyDescent="0.35">
      <c r="A19" s="40"/>
      <c r="B19" s="37"/>
      <c r="C19" s="122" t="s">
        <v>229</v>
      </c>
      <c r="D19" s="33"/>
      <c r="E19" s="33"/>
      <c r="F19" s="37"/>
      <c r="G19" s="1"/>
    </row>
    <row r="20" spans="1:7" ht="20.149999999999999" customHeight="1" x14ac:dyDescent="0.35">
      <c r="A20" s="86" t="s">
        <v>228</v>
      </c>
      <c r="B20" s="85">
        <v>743</v>
      </c>
      <c r="C20" s="123">
        <f>B20/D4</f>
        <v>0.65636042402826855</v>
      </c>
      <c r="D20" s="6"/>
      <c r="E20" s="88"/>
      <c r="F20" s="23"/>
      <c r="G20" s="1"/>
    </row>
    <row r="21" spans="1:7" ht="20.149999999999999" customHeight="1" x14ac:dyDescent="0.35">
      <c r="A21" s="126" t="s">
        <v>231</v>
      </c>
      <c r="B21" s="124"/>
      <c r="C21" s="125"/>
      <c r="D21" s="6"/>
      <c r="E21" s="88"/>
      <c r="F21" s="23"/>
      <c r="G21" s="1"/>
    </row>
    <row r="22" spans="1:7" ht="20.149999999999999" customHeight="1" x14ac:dyDescent="0.35">
      <c r="A22" s="9" t="s">
        <v>187</v>
      </c>
      <c r="B22" s="6">
        <v>117</v>
      </c>
      <c r="C22" s="10"/>
      <c r="D22" s="6"/>
      <c r="E22" s="8"/>
      <c r="G22" s="1"/>
    </row>
    <row r="23" spans="1:7" ht="20.149999999999999" customHeight="1" x14ac:dyDescent="0.35">
      <c r="A23" s="9" t="s">
        <v>6</v>
      </c>
      <c r="B23" s="6">
        <v>92</v>
      </c>
      <c r="C23" s="10"/>
      <c r="D23" s="6"/>
      <c r="E23" s="8"/>
      <c r="G23" s="1"/>
    </row>
    <row r="24" spans="1:7" ht="20.149999999999999" customHeight="1" x14ac:dyDescent="0.35">
      <c r="A24" s="9" t="s">
        <v>7</v>
      </c>
      <c r="B24" s="6">
        <v>98</v>
      </c>
      <c r="C24" s="10"/>
      <c r="D24" s="6"/>
      <c r="E24" s="8"/>
      <c r="G24" s="1"/>
    </row>
    <row r="25" spans="1:7" ht="20.149999999999999" customHeight="1" x14ac:dyDescent="0.35">
      <c r="A25" s="9" t="s">
        <v>47</v>
      </c>
      <c r="B25" s="6">
        <v>81</v>
      </c>
      <c r="C25" s="10"/>
      <c r="D25" s="6"/>
      <c r="E25" s="8"/>
      <c r="F25" s="91"/>
      <c r="G25" s="1"/>
    </row>
    <row r="26" spans="1:7" ht="10" customHeight="1" x14ac:dyDescent="0.35">
      <c r="A26" s="324"/>
      <c r="B26" s="325"/>
      <c r="C26" s="325"/>
      <c r="D26" s="325"/>
      <c r="E26" s="325"/>
      <c r="F26" s="325"/>
      <c r="G26" s="1"/>
    </row>
    <row r="27" spans="1:7" ht="20.149999999999999" customHeight="1" x14ac:dyDescent="0.35">
      <c r="A27" s="6" t="s">
        <v>230</v>
      </c>
      <c r="B27" s="6">
        <v>389</v>
      </c>
      <c r="C27" s="53">
        <f>B27/D4</f>
        <v>0.34363957597173145</v>
      </c>
      <c r="D27" s="6"/>
      <c r="E27" s="8"/>
      <c r="F27" s="90"/>
      <c r="G27" s="1"/>
    </row>
    <row r="28" spans="1:7" ht="25" customHeight="1" x14ac:dyDescent="0.35">
      <c r="A28" s="108" t="s">
        <v>216</v>
      </c>
      <c r="B28" s="121"/>
      <c r="C28" s="11"/>
      <c r="D28" s="11"/>
      <c r="E28" s="11"/>
      <c r="F28" s="65"/>
      <c r="G28" s="1"/>
    </row>
    <row r="29" spans="1:7" ht="20.149999999999999" customHeight="1" x14ac:dyDescent="0.35">
      <c r="A29" s="9" t="s">
        <v>232</v>
      </c>
      <c r="B29" s="6">
        <v>89</v>
      </c>
      <c r="C29" s="10"/>
      <c r="D29" s="6"/>
      <c r="E29" s="84"/>
      <c r="F29" s="91"/>
      <c r="G29" s="1"/>
    </row>
    <row r="30" spans="1:7" ht="20.149999999999999" customHeight="1" x14ac:dyDescent="0.35">
      <c r="A30" s="29" t="s">
        <v>55</v>
      </c>
      <c r="B30" s="17">
        <v>40</v>
      </c>
      <c r="C30" s="10"/>
      <c r="D30" s="6"/>
      <c r="E30" s="84"/>
      <c r="F30" s="91"/>
      <c r="G30" s="1"/>
    </row>
    <row r="31" spans="1:7" ht="20.149999999999999" customHeight="1" x14ac:dyDescent="0.35">
      <c r="A31" s="9" t="s">
        <v>56</v>
      </c>
      <c r="B31" s="6">
        <v>33</v>
      </c>
      <c r="C31" s="10"/>
      <c r="D31" s="6"/>
      <c r="E31" s="84"/>
      <c r="F31" s="91"/>
      <c r="G31" s="1"/>
    </row>
    <row r="32" spans="1:7" ht="20.149999999999999" customHeight="1" x14ac:dyDescent="0.35">
      <c r="A32" s="29" t="s">
        <v>211</v>
      </c>
      <c r="B32" s="17">
        <v>25</v>
      </c>
      <c r="C32" s="10"/>
      <c r="D32" s="6"/>
      <c r="E32" s="84"/>
      <c r="F32" s="91"/>
      <c r="G32" s="1"/>
    </row>
    <row r="33" spans="1:7" ht="10" customHeight="1" x14ac:dyDescent="0.35">
      <c r="A33" s="326"/>
      <c r="B33" s="321"/>
      <c r="C33" s="321"/>
      <c r="D33" s="321"/>
      <c r="E33" s="321"/>
      <c r="F33" s="322"/>
      <c r="G33" s="1"/>
    </row>
    <row r="34" spans="1:7" ht="25" customHeight="1" x14ac:dyDescent="0.35">
      <c r="A34" s="109" t="s">
        <v>36</v>
      </c>
      <c r="B34" s="321"/>
      <c r="C34" s="321"/>
      <c r="D34" s="321"/>
      <c r="E34" s="321"/>
      <c r="F34" s="322"/>
      <c r="G34" s="1"/>
    </row>
    <row r="35" spans="1:7" s="106" customFormat="1" ht="35.25" customHeight="1" x14ac:dyDescent="0.35">
      <c r="A35" s="100" t="s">
        <v>214</v>
      </c>
      <c r="B35" s="101" t="s">
        <v>212</v>
      </c>
      <c r="C35" s="102"/>
      <c r="D35" s="103"/>
      <c r="E35" s="103"/>
      <c r="F35" s="104"/>
      <c r="G35" s="105"/>
    </row>
    <row r="36" spans="1:7" s="106" customFormat="1" ht="35.25" customHeight="1" x14ac:dyDescent="0.35">
      <c r="A36" s="107" t="s">
        <v>215</v>
      </c>
      <c r="B36" s="102" t="s">
        <v>213</v>
      </c>
      <c r="C36" s="102"/>
      <c r="D36" s="103"/>
      <c r="E36" s="103"/>
      <c r="F36" s="104"/>
      <c r="G36" s="105"/>
    </row>
    <row r="37" spans="1:7" ht="20.149999999999999" customHeight="1" x14ac:dyDescent="0.35">
      <c r="A37" s="48"/>
      <c r="B37" s="18"/>
      <c r="C37" s="22"/>
      <c r="D37" s="26"/>
      <c r="E37" s="26"/>
      <c r="F37" s="27"/>
      <c r="G37" s="1"/>
    </row>
    <row r="38" spans="1:7" ht="10" customHeight="1" x14ac:dyDescent="0.35">
      <c r="A38" s="310"/>
      <c r="B38" s="311"/>
      <c r="C38" s="311"/>
      <c r="D38" s="311"/>
      <c r="E38" s="311"/>
      <c r="F38" s="312"/>
      <c r="G38" s="1"/>
    </row>
    <row r="39" spans="1:7" ht="25" customHeight="1" x14ac:dyDescent="0.35">
      <c r="A39" s="110" t="s">
        <v>217</v>
      </c>
      <c r="B39" s="111"/>
      <c r="C39" s="111"/>
      <c r="D39" s="33"/>
      <c r="E39" s="33"/>
      <c r="F39" s="34"/>
      <c r="G39" s="1"/>
    </row>
    <row r="40" spans="1:7" ht="25" customHeight="1" x14ac:dyDescent="0.35">
      <c r="A40" s="49" t="s">
        <v>43</v>
      </c>
      <c r="B40" s="22" t="s">
        <v>21</v>
      </c>
      <c r="C40" s="22" t="s">
        <v>218</v>
      </c>
      <c r="D40" s="33"/>
      <c r="E40" s="33"/>
      <c r="F40" s="34"/>
      <c r="G40" s="1"/>
    </row>
    <row r="41" spans="1:7" ht="25" customHeight="1" x14ac:dyDescent="0.35">
      <c r="A41" s="49" t="s">
        <v>44</v>
      </c>
      <c r="B41" s="22" t="s">
        <v>116</v>
      </c>
      <c r="C41" s="22" t="s">
        <v>81</v>
      </c>
      <c r="D41" s="33"/>
      <c r="E41" s="33"/>
      <c r="F41" s="34"/>
      <c r="G41" s="1"/>
    </row>
    <row r="42" spans="1:7" ht="20.149999999999999" customHeight="1" x14ac:dyDescent="0.35">
      <c r="A42" s="6" t="s">
        <v>60</v>
      </c>
      <c r="B42" s="10" t="s">
        <v>113</v>
      </c>
      <c r="C42" s="10" t="s">
        <v>21</v>
      </c>
      <c r="D42" s="6"/>
      <c r="E42" s="6"/>
      <c r="F42" s="8"/>
      <c r="G42" s="1"/>
    </row>
    <row r="43" spans="1:7" ht="20.149999999999999" customHeight="1" x14ac:dyDescent="0.35">
      <c r="A43" s="6" t="s">
        <v>197</v>
      </c>
      <c r="B43" s="10" t="s">
        <v>219</v>
      </c>
      <c r="C43" s="10" t="s">
        <v>23</v>
      </c>
      <c r="D43" s="6"/>
      <c r="E43" s="6"/>
      <c r="F43" s="8"/>
      <c r="G43" s="1"/>
    </row>
    <row r="44" spans="1:7" ht="20.149999999999999" customHeight="1" x14ac:dyDescent="0.35">
      <c r="A44" s="6" t="s">
        <v>9</v>
      </c>
      <c r="B44" s="10" t="s">
        <v>220</v>
      </c>
      <c r="C44" s="10" t="s">
        <v>222</v>
      </c>
      <c r="D44" s="6"/>
      <c r="E44" s="6"/>
      <c r="F44" s="8"/>
      <c r="G44" s="1"/>
    </row>
    <row r="45" spans="1:7" ht="20.149999999999999" customHeight="1" x14ac:dyDescent="0.35">
      <c r="A45" s="6" t="s">
        <v>196</v>
      </c>
      <c r="B45" s="10" t="s">
        <v>220</v>
      </c>
      <c r="C45" s="10" t="s">
        <v>23</v>
      </c>
      <c r="D45" s="6"/>
      <c r="E45" s="6"/>
      <c r="F45" s="8"/>
      <c r="G45" s="1"/>
    </row>
    <row r="46" spans="1:7" ht="20.149999999999999" customHeight="1" x14ac:dyDescent="0.35">
      <c r="A46" s="6" t="s">
        <v>10</v>
      </c>
      <c r="B46" s="10" t="s">
        <v>87</v>
      </c>
      <c r="C46" s="10" t="s">
        <v>223</v>
      </c>
      <c r="D46" s="6"/>
      <c r="E46" s="6"/>
      <c r="F46" s="8"/>
      <c r="G46" s="1"/>
    </row>
    <row r="47" spans="1:7" ht="20.149999999999999" customHeight="1" x14ac:dyDescent="0.35">
      <c r="A47" s="6" t="s">
        <v>194</v>
      </c>
      <c r="B47" s="10" t="s">
        <v>87</v>
      </c>
      <c r="C47" s="10" t="s">
        <v>23</v>
      </c>
      <c r="D47" s="6"/>
      <c r="E47" s="6"/>
      <c r="F47" s="8"/>
      <c r="G47" s="1"/>
    </row>
    <row r="48" spans="1:7" ht="20.149999999999999" customHeight="1" x14ac:dyDescent="0.35">
      <c r="A48" s="6" t="s">
        <v>61</v>
      </c>
      <c r="B48" s="10" t="s">
        <v>221</v>
      </c>
      <c r="C48" s="10" t="s">
        <v>29</v>
      </c>
      <c r="D48" s="6"/>
      <c r="E48" s="6"/>
      <c r="F48" s="8"/>
      <c r="G48" s="1"/>
    </row>
    <row r="49" spans="1:7" ht="20.149999999999999" customHeight="1" x14ac:dyDescent="0.35">
      <c r="A49" s="17" t="s">
        <v>195</v>
      </c>
      <c r="B49" s="10" t="s">
        <v>221</v>
      </c>
      <c r="C49" s="10" t="s">
        <v>23</v>
      </c>
      <c r="D49" s="6"/>
      <c r="E49" s="6"/>
      <c r="F49" s="8"/>
      <c r="G49" s="1"/>
    </row>
    <row r="50" spans="1:7" ht="10" customHeight="1" x14ac:dyDescent="0.35">
      <c r="A50" s="310"/>
      <c r="B50" s="311"/>
      <c r="C50" s="311"/>
      <c r="D50" s="311"/>
      <c r="E50" s="311"/>
      <c r="F50" s="312"/>
      <c r="G50" s="1"/>
    </row>
    <row r="51" spans="1:7" ht="25" customHeight="1" x14ac:dyDescent="0.35">
      <c r="A51" s="40" t="s">
        <v>45</v>
      </c>
      <c r="B51" s="37"/>
      <c r="C51" s="37"/>
      <c r="D51" s="37"/>
      <c r="E51" s="37"/>
      <c r="F51" s="37"/>
    </row>
    <row r="52" spans="1:7" ht="25" customHeight="1" x14ac:dyDescent="0.35">
      <c r="A52" s="54" t="s">
        <v>88</v>
      </c>
      <c r="B52" s="28"/>
      <c r="C52" s="37"/>
      <c r="D52" s="37"/>
      <c r="E52" s="37"/>
      <c r="F52" s="37"/>
    </row>
    <row r="53" spans="1:7" ht="20.149999999999999" customHeight="1" x14ac:dyDescent="0.35">
      <c r="A53" s="29" t="s">
        <v>25</v>
      </c>
      <c r="B53" s="112">
        <v>0.81</v>
      </c>
      <c r="E53" s="5"/>
    </row>
    <row r="54" spans="1:7" ht="20.149999999999999" customHeight="1" x14ac:dyDescent="0.35">
      <c r="A54" s="29" t="s">
        <v>26</v>
      </c>
      <c r="B54" s="112">
        <v>0.19</v>
      </c>
      <c r="E54" s="5"/>
    </row>
    <row r="55" spans="1:7" ht="20.149999999999999" customHeight="1" x14ac:dyDescent="0.35">
      <c r="A55" s="18" t="s">
        <v>80</v>
      </c>
      <c r="B55" s="28"/>
      <c r="C55" s="18"/>
      <c r="D55" s="18"/>
      <c r="E55" s="18"/>
      <c r="F55" s="23"/>
    </row>
    <row r="56" spans="1:7" ht="20.149999999999999" customHeight="1" x14ac:dyDescent="0.35">
      <c r="A56" s="29" t="s">
        <v>25</v>
      </c>
      <c r="B56" s="28" t="s">
        <v>82</v>
      </c>
    </row>
    <row r="57" spans="1:7" ht="20.149999999999999" customHeight="1" x14ac:dyDescent="0.35">
      <c r="A57" s="29" t="s">
        <v>26</v>
      </c>
      <c r="B57" s="28" t="s">
        <v>116</v>
      </c>
    </row>
    <row r="58" spans="1:7" ht="10" customHeight="1" x14ac:dyDescent="0.35">
      <c r="A58" s="42"/>
      <c r="B58" s="43"/>
      <c r="C58" s="30"/>
      <c r="D58" s="30"/>
      <c r="E58" s="30"/>
      <c r="F58" s="31"/>
    </row>
    <row r="59" spans="1:7" x14ac:dyDescent="0.35">
      <c r="A59" s="40" t="s">
        <v>46</v>
      </c>
      <c r="B59" s="28"/>
    </row>
    <row r="60" spans="1:7" ht="20.149999999999999" customHeight="1" x14ac:dyDescent="0.35">
      <c r="A60" s="32" t="s">
        <v>34</v>
      </c>
    </row>
    <row r="61" spans="1:7" ht="20.149999999999999" customHeight="1" x14ac:dyDescent="0.35">
      <c r="A61" s="29" t="s">
        <v>25</v>
      </c>
      <c r="B61" s="113">
        <v>0.57999999999999996</v>
      </c>
      <c r="E61" s="5"/>
    </row>
    <row r="62" spans="1:7" ht="20.149999999999999" customHeight="1" x14ac:dyDescent="0.35">
      <c r="A62" s="29" t="s">
        <v>26</v>
      </c>
      <c r="B62" s="113">
        <v>0.42</v>
      </c>
      <c r="E62" s="5"/>
    </row>
    <row r="63" spans="1:7" ht="20.149999999999999" customHeight="1" x14ac:dyDescent="0.35">
      <c r="A63" s="18" t="s">
        <v>35</v>
      </c>
      <c r="B63" s="18"/>
      <c r="C63" s="18"/>
      <c r="D63" s="18"/>
      <c r="E63" s="18"/>
      <c r="F63" s="23"/>
    </row>
    <row r="64" spans="1:7" ht="20.149999999999999" customHeight="1" x14ac:dyDescent="0.35">
      <c r="A64" s="29" t="s">
        <v>25</v>
      </c>
      <c r="B64" s="28" t="s">
        <v>224</v>
      </c>
      <c r="C64" s="18"/>
      <c r="D64" s="18"/>
      <c r="E64" s="18"/>
      <c r="F64" s="23"/>
    </row>
    <row r="65" spans="1:15" ht="20.149999999999999" customHeight="1" x14ac:dyDescent="0.35">
      <c r="A65" s="29" t="s">
        <v>26</v>
      </c>
      <c r="B65" s="28" t="s">
        <v>29</v>
      </c>
      <c r="C65" s="18"/>
      <c r="D65" s="18"/>
      <c r="E65" s="18"/>
      <c r="F65" s="23"/>
    </row>
    <row r="66" spans="1:15" ht="10" customHeight="1" x14ac:dyDescent="0.35">
      <c r="A66" s="30"/>
      <c r="B66" s="30"/>
      <c r="C66" s="30"/>
      <c r="D66" s="30"/>
      <c r="E66" s="30"/>
      <c r="F66" s="31"/>
    </row>
    <row r="67" spans="1:15" ht="25" customHeight="1" x14ac:dyDescent="0.35">
      <c r="A67" s="40" t="s">
        <v>40</v>
      </c>
      <c r="F67" s="47"/>
    </row>
    <row r="68" spans="1:15" ht="25" customHeight="1" x14ac:dyDescent="0.35">
      <c r="A68" s="18" t="s">
        <v>74</v>
      </c>
    </row>
    <row r="69" spans="1:15" s="29" customFormat="1" ht="20.149999999999999" customHeight="1" x14ac:dyDescent="0.3">
      <c r="A69" s="29" t="s">
        <v>37</v>
      </c>
      <c r="B69" s="28">
        <v>243</v>
      </c>
      <c r="C69" s="28"/>
      <c r="F69" s="41"/>
    </row>
    <row r="70" spans="1:15" s="29" customFormat="1" ht="20.149999999999999" customHeight="1" x14ac:dyDescent="0.3">
      <c r="A70" s="29" t="s">
        <v>38</v>
      </c>
      <c r="B70" s="28">
        <v>507</v>
      </c>
      <c r="C70" s="28"/>
      <c r="F70" s="41"/>
    </row>
    <row r="71" spans="1:15" ht="20.149999999999999" customHeight="1" x14ac:dyDescent="0.35">
      <c r="A71" s="9" t="s">
        <v>1</v>
      </c>
      <c r="B71" s="10">
        <v>30</v>
      </c>
      <c r="C71" s="10"/>
      <c r="D71" s="6"/>
      <c r="E71" s="6"/>
      <c r="F71" s="8"/>
      <c r="G71" s="1"/>
    </row>
    <row r="72" spans="1:15" ht="25" customHeight="1" x14ac:dyDescent="0.35">
      <c r="A72" s="313" t="s">
        <v>75</v>
      </c>
      <c r="B72" s="314"/>
      <c r="C72" s="314"/>
      <c r="D72" s="314"/>
      <c r="E72" s="314"/>
      <c r="F72" s="315"/>
      <c r="G72" s="1"/>
    </row>
    <row r="73" spans="1:15" ht="20.149999999999999" customHeight="1" x14ac:dyDescent="0.35">
      <c r="A73" s="58">
        <v>44709</v>
      </c>
      <c r="B73" s="11">
        <v>112</v>
      </c>
      <c r="C73" s="11"/>
      <c r="D73" s="11"/>
      <c r="E73" s="11"/>
      <c r="F73" s="44"/>
      <c r="G73" s="1"/>
    </row>
    <row r="74" spans="1:15" ht="20.149999999999999" customHeight="1" x14ac:dyDescent="0.35">
      <c r="A74" s="58">
        <v>44715</v>
      </c>
      <c r="B74" s="11">
        <v>47</v>
      </c>
      <c r="C74" s="11"/>
      <c r="D74" s="11"/>
      <c r="E74" s="11"/>
      <c r="F74" s="44"/>
      <c r="G74" s="1"/>
      <c r="I74" s="114"/>
      <c r="K74" s="114"/>
      <c r="M74" s="114"/>
      <c r="O74" s="114"/>
    </row>
    <row r="75" spans="1:15" ht="20.149999999999999" customHeight="1" x14ac:dyDescent="0.35">
      <c r="A75" s="58">
        <v>44741</v>
      </c>
      <c r="B75" s="11">
        <v>43</v>
      </c>
      <c r="C75" s="11"/>
      <c r="D75" s="11"/>
      <c r="E75" s="11"/>
      <c r="F75" s="44"/>
      <c r="G75" s="1"/>
      <c r="I75" s="114"/>
      <c r="K75" s="114"/>
      <c r="M75" s="114"/>
    </row>
    <row r="76" spans="1:15" ht="10" customHeight="1" x14ac:dyDescent="0.35">
      <c r="A76" s="13"/>
      <c r="B76" s="14"/>
      <c r="C76" s="14"/>
      <c r="D76" s="14"/>
      <c r="E76" s="14"/>
      <c r="F76" s="15"/>
      <c r="G76" s="1"/>
    </row>
    <row r="77" spans="1:15" ht="25" customHeight="1" x14ac:dyDescent="0.35">
      <c r="A77" s="38" t="s">
        <v>225</v>
      </c>
      <c r="B77" s="11"/>
      <c r="C77" s="11"/>
      <c r="D77" s="11"/>
      <c r="E77" s="11"/>
      <c r="F77" s="44"/>
      <c r="G77" s="1"/>
    </row>
    <row r="78" spans="1:15" ht="25" customHeight="1" x14ac:dyDescent="0.35">
      <c r="A78" s="316" t="s">
        <v>68</v>
      </c>
      <c r="B78" s="318" t="s">
        <v>3</v>
      </c>
      <c r="C78" s="318"/>
      <c r="E78" s="319" t="s">
        <v>4</v>
      </c>
      <c r="F78" s="320"/>
      <c r="G78" s="1"/>
    </row>
    <row r="79" spans="1:15" ht="14.25" customHeight="1" x14ac:dyDescent="0.35">
      <c r="A79" s="317"/>
      <c r="B79" s="52" t="s">
        <v>52</v>
      </c>
      <c r="C79" s="33" t="s">
        <v>51</v>
      </c>
      <c r="D79" s="57" t="s">
        <v>95</v>
      </c>
      <c r="E79" s="33" t="s">
        <v>52</v>
      </c>
      <c r="F79" s="33" t="s">
        <v>51</v>
      </c>
      <c r="G79" s="1"/>
    </row>
    <row r="80" spans="1:15" ht="20.149999999999999" customHeight="1" x14ac:dyDescent="0.35">
      <c r="A80" s="9" t="s">
        <v>11</v>
      </c>
      <c r="B80" s="6">
        <v>1070</v>
      </c>
      <c r="C80" s="10">
        <v>745</v>
      </c>
      <c r="D80" s="23">
        <f t="shared" ref="D80:D85" si="0">C80/B80</f>
        <v>0.69626168224299068</v>
      </c>
      <c r="E80" s="6"/>
      <c r="F80" s="53"/>
      <c r="G80" s="1"/>
    </row>
    <row r="81" spans="1:7" ht="20.149999999999999" customHeight="1" x14ac:dyDescent="0.35">
      <c r="A81" s="9" t="s">
        <v>63</v>
      </c>
      <c r="B81" s="6">
        <v>32</v>
      </c>
      <c r="C81" s="10">
        <v>17</v>
      </c>
      <c r="D81" s="23">
        <f t="shared" si="0"/>
        <v>0.53125</v>
      </c>
      <c r="E81" s="6"/>
      <c r="F81" s="53"/>
      <c r="G81" s="1"/>
    </row>
    <row r="82" spans="1:7" ht="20.149999999999999" customHeight="1" x14ac:dyDescent="0.35">
      <c r="A82" s="9" t="s">
        <v>13</v>
      </c>
      <c r="B82" s="6">
        <v>3</v>
      </c>
      <c r="C82" s="10">
        <v>3</v>
      </c>
      <c r="D82" s="23">
        <f t="shared" si="0"/>
        <v>1</v>
      </c>
      <c r="E82" s="6"/>
      <c r="F82" s="53"/>
      <c r="G82" s="1"/>
    </row>
    <row r="83" spans="1:7" ht="20.149999999999999" customHeight="1" x14ac:dyDescent="0.35">
      <c r="A83" s="9" t="s">
        <v>12</v>
      </c>
      <c r="B83" s="6">
        <v>12</v>
      </c>
      <c r="C83" s="10">
        <v>9</v>
      </c>
      <c r="D83" s="23">
        <f t="shared" si="0"/>
        <v>0.75</v>
      </c>
      <c r="E83" s="6"/>
      <c r="F83" s="53"/>
      <c r="G83" s="1"/>
    </row>
    <row r="84" spans="1:7" ht="20.149999999999999" customHeight="1" x14ac:dyDescent="0.35">
      <c r="A84" s="16" t="s">
        <v>199</v>
      </c>
      <c r="B84" s="17">
        <v>8</v>
      </c>
      <c r="C84" s="10">
        <v>6</v>
      </c>
      <c r="D84" s="23">
        <f t="shared" si="0"/>
        <v>0.75</v>
      </c>
      <c r="E84" s="6"/>
      <c r="F84" s="53"/>
      <c r="G84" s="1"/>
    </row>
    <row r="85" spans="1:7" s="106" customFormat="1" ht="27.75" customHeight="1" x14ac:dyDescent="0.35">
      <c r="A85" s="115" t="s">
        <v>233</v>
      </c>
      <c r="B85" s="116">
        <v>2</v>
      </c>
      <c r="C85" s="117">
        <v>0</v>
      </c>
      <c r="D85" s="118">
        <f t="shared" si="0"/>
        <v>0</v>
      </c>
      <c r="F85" s="119"/>
      <c r="G85" s="105"/>
    </row>
    <row r="86" spans="1:7" ht="20.149999999999999" customHeight="1" x14ac:dyDescent="0.35">
      <c r="F86" s="6"/>
      <c r="G86" s="1"/>
    </row>
    <row r="87" spans="1:7" ht="20.149999999999999" customHeight="1" x14ac:dyDescent="0.35">
      <c r="A87" s="9" t="s">
        <v>67</v>
      </c>
      <c r="B87" s="24"/>
      <c r="C87" s="10"/>
      <c r="D87" s="23"/>
      <c r="E87" s="10">
        <v>5</v>
      </c>
      <c r="F87" s="10">
        <v>0</v>
      </c>
      <c r="G87" s="1"/>
    </row>
    <row r="88" spans="1:7" ht="10" customHeight="1" x14ac:dyDescent="0.35">
      <c r="A88" s="13"/>
      <c r="B88" s="14"/>
      <c r="C88" s="14"/>
      <c r="D88" s="14"/>
      <c r="E88" s="14"/>
      <c r="F88" s="15"/>
      <c r="G88" s="1"/>
    </row>
    <row r="89" spans="1:7" ht="25" customHeight="1" x14ac:dyDescent="0.35">
      <c r="A89" s="46" t="s">
        <v>39</v>
      </c>
      <c r="B89" s="11"/>
      <c r="C89" s="11"/>
      <c r="D89" s="11"/>
      <c r="E89" s="11"/>
      <c r="F89" s="45"/>
      <c r="G89" s="1"/>
    </row>
    <row r="90" spans="1:7" ht="28.5" customHeight="1" x14ac:dyDescent="0.35">
      <c r="A90" s="6" t="s">
        <v>226</v>
      </c>
      <c r="B90" s="19" t="s">
        <v>19</v>
      </c>
      <c r="C90" s="20" t="s">
        <v>18</v>
      </c>
      <c r="D90" s="19"/>
      <c r="E90" s="19"/>
      <c r="F90" s="50"/>
      <c r="G90" s="1"/>
    </row>
    <row r="91" spans="1:7" ht="20.149999999999999" customHeight="1" x14ac:dyDescent="0.35">
      <c r="A91" s="21" t="s">
        <v>16</v>
      </c>
      <c r="B91" s="22">
        <v>15</v>
      </c>
      <c r="C91" s="22">
        <v>17</v>
      </c>
      <c r="D91" s="22"/>
      <c r="E91" s="22"/>
      <c r="F91" s="12"/>
      <c r="G91" s="1"/>
    </row>
    <row r="92" spans="1:7" ht="20.149999999999999" customHeight="1" x14ac:dyDescent="0.35">
      <c r="A92" s="21" t="s">
        <v>4</v>
      </c>
      <c r="B92" s="22">
        <v>17</v>
      </c>
      <c r="C92" s="22" t="s">
        <v>23</v>
      </c>
      <c r="D92" s="22"/>
      <c r="E92" s="22"/>
      <c r="F92" s="12"/>
      <c r="G92" s="1"/>
    </row>
    <row r="93" spans="1:7" x14ac:dyDescent="0.35">
      <c r="A93" s="18" t="s">
        <v>227</v>
      </c>
    </row>
    <row r="94" spans="1:7" x14ac:dyDescent="0.35">
      <c r="A94" s="21" t="s">
        <v>16</v>
      </c>
      <c r="B94">
        <v>15</v>
      </c>
      <c r="C94" s="120">
        <v>17</v>
      </c>
    </row>
    <row r="95" spans="1:7" x14ac:dyDescent="0.35">
      <c r="A95" s="29"/>
      <c r="B95" s="120"/>
      <c r="C95" s="120"/>
    </row>
  </sheetData>
  <mergeCells count="10">
    <mergeCell ref="B34:F34"/>
    <mergeCell ref="A1:F1"/>
    <mergeCell ref="A26:F26"/>
    <mergeCell ref="A33:F33"/>
    <mergeCell ref="A38:F38"/>
    <mergeCell ref="A50:F50"/>
    <mergeCell ref="A72:F72"/>
    <mergeCell ref="A78:A79"/>
    <mergeCell ref="B78:C78"/>
    <mergeCell ref="E78:F78"/>
  </mergeCells>
  <printOptions horizontalCentered="1" gridLines="1"/>
  <pageMargins left="0.25" right="0.25" top="0.75" bottom="0.75" header="0.3" footer="0.3"/>
  <pageSetup scale="74" fitToWidth="2" fitToHeight="2" orientation="portrait" r:id="rId1"/>
  <rowBreaks count="2" manualBreakCount="2">
    <brk id="50" max="16383" man="1"/>
    <brk id="76" max="16383" man="1"/>
  </rowBreaks>
  <ignoredErrors>
    <ignoredError sqref="E5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10BF0-3555-404D-B6EC-475D6306A0A3}">
  <sheetPr>
    <tabColor rgb="FFFF66CC"/>
    <pageSetUpPr fitToPage="1"/>
  </sheetPr>
  <dimension ref="A1:G96"/>
  <sheetViews>
    <sheetView zoomScaleNormal="100" workbookViewId="0">
      <pane ySplit="2" topLeftCell="A20" activePane="bottomLeft" state="frozen"/>
      <selection pane="bottomLeft" activeCell="H52" sqref="H52"/>
    </sheetView>
  </sheetViews>
  <sheetFormatPr defaultColWidth="8.81640625" defaultRowHeight="14.5" x14ac:dyDescent="0.35"/>
  <cols>
    <col min="1" max="1" width="50.7265625" customWidth="1"/>
    <col min="2" max="4" width="9.81640625" customWidth="1"/>
    <col min="5" max="5" width="10.81640625" customWidth="1"/>
    <col min="6" max="6" width="10.81640625" style="5" customWidth="1"/>
  </cols>
  <sheetData>
    <row r="1" spans="1:7" ht="23.15" customHeight="1" x14ac:dyDescent="0.35">
      <c r="A1" s="323" t="s">
        <v>185</v>
      </c>
      <c r="B1" s="323"/>
      <c r="C1" s="323"/>
      <c r="D1" s="323"/>
      <c r="E1" s="323"/>
      <c r="F1" s="323"/>
    </row>
    <row r="2" spans="1:7" ht="45" customHeight="1" x14ac:dyDescent="0.35">
      <c r="A2" s="2"/>
      <c r="B2" s="3" t="s">
        <v>3</v>
      </c>
      <c r="C2" s="3" t="s">
        <v>4</v>
      </c>
      <c r="D2" s="3" t="s">
        <v>0</v>
      </c>
      <c r="E2" s="55" t="s">
        <v>93</v>
      </c>
      <c r="F2" s="4" t="s">
        <v>94</v>
      </c>
    </row>
    <row r="3" spans="1:7" ht="32.25" customHeight="1" x14ac:dyDescent="0.35">
      <c r="A3" s="39" t="s">
        <v>32</v>
      </c>
      <c r="B3" s="35"/>
      <c r="C3" s="35"/>
      <c r="D3" s="35"/>
      <c r="E3" s="35"/>
      <c r="F3" s="36"/>
    </row>
    <row r="4" spans="1:7" ht="20.149999999999999" customHeight="1" x14ac:dyDescent="0.35">
      <c r="A4" s="6" t="s">
        <v>41</v>
      </c>
      <c r="B4" s="6">
        <v>1007</v>
      </c>
      <c r="C4" s="6">
        <v>17</v>
      </c>
      <c r="D4" s="6">
        <f>B4+C4</f>
        <v>1024</v>
      </c>
      <c r="E4" s="6"/>
      <c r="F4" s="7"/>
      <c r="G4" s="1"/>
    </row>
    <row r="5" spans="1:7" ht="20.149999999999999" customHeight="1" x14ac:dyDescent="0.35">
      <c r="A5" s="6" t="s">
        <v>5</v>
      </c>
      <c r="B5" s="6">
        <v>565</v>
      </c>
      <c r="C5" s="6">
        <v>0</v>
      </c>
      <c r="D5" s="6">
        <v>565</v>
      </c>
      <c r="E5" s="8">
        <v>0.56000000000000005</v>
      </c>
      <c r="F5" s="89" t="s">
        <v>23</v>
      </c>
      <c r="G5" s="1"/>
    </row>
    <row r="6" spans="1:7" ht="20.149999999999999" customHeight="1" x14ac:dyDescent="0.35">
      <c r="A6" s="6" t="s">
        <v>42</v>
      </c>
      <c r="B6" s="6">
        <v>443</v>
      </c>
      <c r="C6" s="6">
        <v>17</v>
      </c>
      <c r="D6" s="6">
        <f>B6+C6</f>
        <v>460</v>
      </c>
      <c r="E6" s="8">
        <v>0.44</v>
      </c>
      <c r="F6" s="90" t="s">
        <v>23</v>
      </c>
      <c r="G6" s="1"/>
    </row>
    <row r="7" spans="1:7" ht="20.149999999999999" customHeight="1" x14ac:dyDescent="0.35">
      <c r="A7" s="6" t="s">
        <v>24</v>
      </c>
      <c r="B7" s="6">
        <v>136</v>
      </c>
      <c r="C7" s="6">
        <v>4</v>
      </c>
      <c r="D7" s="6">
        <v>140</v>
      </c>
      <c r="E7" s="8">
        <v>0.14000000000000001</v>
      </c>
      <c r="F7" s="23">
        <v>0.24</v>
      </c>
      <c r="G7" s="1"/>
    </row>
    <row r="8" spans="1:7" ht="20.149999999999999" customHeight="1" x14ac:dyDescent="0.35">
      <c r="A8" s="17" t="s">
        <v>49</v>
      </c>
      <c r="B8" s="17">
        <v>530</v>
      </c>
      <c r="C8" s="18">
        <v>6</v>
      </c>
      <c r="D8" s="6">
        <f>B8+C8</f>
        <v>536</v>
      </c>
      <c r="E8" s="51">
        <v>0.53</v>
      </c>
      <c r="F8" s="23">
        <v>0.35</v>
      </c>
      <c r="G8" s="1"/>
    </row>
    <row r="9" spans="1:7" ht="20.149999999999999" customHeight="1" x14ac:dyDescent="0.35">
      <c r="A9" s="17" t="s">
        <v>206</v>
      </c>
      <c r="B9" s="17"/>
      <c r="C9" s="18"/>
      <c r="D9" s="6"/>
      <c r="E9" s="51"/>
      <c r="F9" s="23"/>
      <c r="G9" s="1"/>
    </row>
    <row r="10" spans="1:7" ht="20.149999999999999" customHeight="1" x14ac:dyDescent="0.35">
      <c r="A10" s="16" t="s">
        <v>205</v>
      </c>
      <c r="B10" s="92">
        <v>0.56999999999999995</v>
      </c>
      <c r="C10" s="18"/>
      <c r="D10" s="6"/>
      <c r="E10" s="51"/>
      <c r="F10" s="23"/>
      <c r="G10" s="1"/>
    </row>
    <row r="11" spans="1:7" ht="20.149999999999999" customHeight="1" x14ac:dyDescent="0.35">
      <c r="A11" s="16" t="s">
        <v>18</v>
      </c>
      <c r="B11" s="92">
        <v>0.51</v>
      </c>
      <c r="C11" s="18"/>
      <c r="D11" s="6"/>
      <c r="E11" s="51"/>
      <c r="F11" s="23"/>
      <c r="G11" s="1"/>
    </row>
    <row r="12" spans="1:7" ht="20.149999999999999" customHeight="1" x14ac:dyDescent="0.35">
      <c r="A12" s="17" t="s">
        <v>50</v>
      </c>
      <c r="B12" s="17">
        <v>58</v>
      </c>
      <c r="C12" s="28" t="s">
        <v>23</v>
      </c>
      <c r="D12" s="6">
        <v>58</v>
      </c>
      <c r="E12" s="23">
        <v>0.11</v>
      </c>
      <c r="F12" s="89" t="s">
        <v>23</v>
      </c>
      <c r="G12" s="1"/>
    </row>
    <row r="13" spans="1:7" ht="20.149999999999999" customHeight="1" x14ac:dyDescent="0.35">
      <c r="A13" s="59" t="s">
        <v>96</v>
      </c>
      <c r="B13" s="60">
        <v>44347</v>
      </c>
      <c r="C13" s="60">
        <v>44341</v>
      </c>
      <c r="D13" s="11"/>
      <c r="E13" s="23"/>
      <c r="F13" s="56"/>
      <c r="G13" s="1"/>
    </row>
    <row r="14" spans="1:7" ht="20.149999999999999" customHeight="1" x14ac:dyDescent="0.35">
      <c r="A14" s="59" t="s">
        <v>97</v>
      </c>
      <c r="B14" s="60">
        <v>44387</v>
      </c>
      <c r="C14" s="60">
        <v>44361</v>
      </c>
      <c r="D14" s="11"/>
      <c r="E14" s="23"/>
      <c r="F14" s="56"/>
      <c r="G14" s="1"/>
    </row>
    <row r="15" spans="1:7" ht="10" customHeight="1" x14ac:dyDescent="0.35">
      <c r="A15" s="13"/>
      <c r="B15" s="14"/>
      <c r="C15" s="14"/>
      <c r="D15" s="14"/>
      <c r="E15" s="14"/>
      <c r="F15" s="15"/>
      <c r="G15" s="1"/>
    </row>
    <row r="16" spans="1:7" ht="25" customHeight="1" x14ac:dyDescent="0.35">
      <c r="A16" s="38" t="s">
        <v>31</v>
      </c>
      <c r="B16" s="33"/>
      <c r="C16" s="33"/>
      <c r="D16" s="33"/>
      <c r="E16" s="33"/>
      <c r="F16" s="34"/>
      <c r="G16" s="1"/>
    </row>
    <row r="17" spans="1:7" ht="20.149999999999999" customHeight="1" x14ac:dyDescent="0.35">
      <c r="A17" s="86" t="s">
        <v>186</v>
      </c>
      <c r="B17" s="85">
        <v>930</v>
      </c>
      <c r="C17" s="87">
        <v>17</v>
      </c>
      <c r="D17" s="6">
        <f>B17+C17</f>
        <v>947</v>
      </c>
      <c r="E17" s="88">
        <f>B17/B4</f>
        <v>0.92353525322740815</v>
      </c>
      <c r="F17" s="23">
        <f>C17/C4</f>
        <v>1</v>
      </c>
      <c r="G17" s="1"/>
    </row>
    <row r="18" spans="1:7" ht="20.149999999999999" customHeight="1" x14ac:dyDescent="0.35">
      <c r="A18" s="10" t="s">
        <v>33</v>
      </c>
      <c r="B18" s="327"/>
      <c r="C18" s="319"/>
      <c r="D18" s="319"/>
      <c r="E18" s="319"/>
      <c r="F18" s="320"/>
      <c r="G18" s="1"/>
    </row>
    <row r="19" spans="1:7" ht="20.149999999999999" customHeight="1" x14ac:dyDescent="0.35">
      <c r="A19" s="9" t="s">
        <v>7</v>
      </c>
      <c r="B19" s="6">
        <v>160</v>
      </c>
      <c r="C19" s="10">
        <v>3</v>
      </c>
      <c r="D19" s="6"/>
      <c r="E19" s="8">
        <f>B19/B4</f>
        <v>0.15888778550148958</v>
      </c>
      <c r="F19" s="5">
        <f>C19/C4</f>
        <v>0.17647058823529413</v>
      </c>
      <c r="G19" s="1"/>
    </row>
    <row r="20" spans="1:7" ht="20.149999999999999" customHeight="1" x14ac:dyDescent="0.35">
      <c r="A20" s="9" t="s">
        <v>6</v>
      </c>
      <c r="B20" s="6">
        <v>97</v>
      </c>
      <c r="C20" s="10">
        <v>4</v>
      </c>
      <c r="D20" s="6"/>
      <c r="E20" s="8">
        <f>B20/B4</f>
        <v>9.6325719960278056E-2</v>
      </c>
      <c r="F20" s="5">
        <f>C20/C4</f>
        <v>0.23529411764705882</v>
      </c>
      <c r="G20" s="1"/>
    </row>
    <row r="21" spans="1:7" ht="20.149999999999999" customHeight="1" x14ac:dyDescent="0.35">
      <c r="A21" s="9" t="s">
        <v>47</v>
      </c>
      <c r="B21" s="6">
        <v>97</v>
      </c>
      <c r="C21" s="10" t="s">
        <v>23</v>
      </c>
      <c r="D21" s="6"/>
      <c r="E21" s="8">
        <f>B21/B4</f>
        <v>9.6325719960278056E-2</v>
      </c>
      <c r="F21" s="91" t="s">
        <v>23</v>
      </c>
      <c r="G21" s="1"/>
    </row>
    <row r="22" spans="1:7" ht="20.149999999999999" customHeight="1" x14ac:dyDescent="0.35">
      <c r="A22" s="9" t="s">
        <v>187</v>
      </c>
      <c r="B22" s="6">
        <v>94</v>
      </c>
      <c r="C22" s="10">
        <v>3</v>
      </c>
      <c r="D22" s="6"/>
      <c r="E22" s="8">
        <f>B22/B4</f>
        <v>9.3346573982125119E-2</v>
      </c>
      <c r="F22" s="5">
        <f>C22/C4</f>
        <v>0.17647058823529413</v>
      </c>
      <c r="G22" s="1"/>
    </row>
    <row r="23" spans="1:7" ht="10" customHeight="1" x14ac:dyDescent="0.35">
      <c r="A23" s="324"/>
      <c r="B23" s="325"/>
      <c r="C23" s="325"/>
      <c r="D23" s="325"/>
      <c r="E23" s="325"/>
      <c r="F23" s="325"/>
      <c r="G23" s="1"/>
    </row>
    <row r="24" spans="1:7" ht="20.149999999999999" customHeight="1" x14ac:dyDescent="0.35">
      <c r="A24" s="6" t="s">
        <v>188</v>
      </c>
      <c r="B24" s="6">
        <v>77</v>
      </c>
      <c r="C24" s="10" t="s">
        <v>23</v>
      </c>
      <c r="D24" s="6"/>
      <c r="E24" s="8">
        <f>B24/B4</f>
        <v>7.6464746772591852E-2</v>
      </c>
      <c r="F24" s="90" t="s">
        <v>23</v>
      </c>
      <c r="G24" s="1"/>
    </row>
    <row r="25" spans="1:7" ht="25" customHeight="1" x14ac:dyDescent="0.35">
      <c r="A25" s="10" t="s">
        <v>22</v>
      </c>
      <c r="B25" s="327"/>
      <c r="C25" s="319"/>
      <c r="D25" s="319"/>
      <c r="E25" s="319"/>
      <c r="F25" s="320"/>
      <c r="G25" s="1"/>
    </row>
    <row r="26" spans="1:7" ht="20.149999999999999" customHeight="1" x14ac:dyDescent="0.35">
      <c r="A26" s="9" t="s">
        <v>55</v>
      </c>
      <c r="B26" s="6">
        <v>11</v>
      </c>
      <c r="C26" s="10" t="s">
        <v>23</v>
      </c>
      <c r="D26" s="6"/>
      <c r="E26" s="84">
        <f>B26/B4</f>
        <v>1.0923535253227408E-2</v>
      </c>
      <c r="F26" s="91" t="s">
        <v>23</v>
      </c>
      <c r="G26" s="1"/>
    </row>
    <row r="27" spans="1:7" ht="20.149999999999999" customHeight="1" x14ac:dyDescent="0.35">
      <c r="A27" s="9" t="s">
        <v>58</v>
      </c>
      <c r="B27" s="6">
        <v>11</v>
      </c>
      <c r="C27" s="10" t="s">
        <v>23</v>
      </c>
      <c r="D27" s="6"/>
      <c r="E27" s="84">
        <f>B27/B5</f>
        <v>1.9469026548672566E-2</v>
      </c>
      <c r="F27" s="91" t="s">
        <v>23</v>
      </c>
      <c r="G27" s="1"/>
    </row>
    <row r="28" spans="1:7" ht="20.149999999999999" customHeight="1" x14ac:dyDescent="0.35">
      <c r="A28" s="29" t="s">
        <v>191</v>
      </c>
      <c r="B28" s="17">
        <v>10</v>
      </c>
      <c r="C28" s="10" t="s">
        <v>23</v>
      </c>
      <c r="D28" s="6"/>
      <c r="E28" s="84">
        <f>B28/B4</f>
        <v>9.9304865938430985E-3</v>
      </c>
      <c r="F28" s="91" t="s">
        <v>23</v>
      </c>
      <c r="G28" s="1"/>
    </row>
    <row r="29" spans="1:7" ht="20.149999999999999" customHeight="1" x14ac:dyDescent="0.35">
      <c r="A29" s="9" t="s">
        <v>190</v>
      </c>
      <c r="B29" s="6">
        <v>7</v>
      </c>
      <c r="C29" s="10" t="s">
        <v>23</v>
      </c>
      <c r="D29" s="6"/>
      <c r="E29" s="84">
        <f>B29/B4</f>
        <v>6.9513406156901684E-3</v>
      </c>
      <c r="F29" s="91" t="s">
        <v>23</v>
      </c>
      <c r="G29" s="1"/>
    </row>
    <row r="30" spans="1:7" ht="20.149999999999999" customHeight="1" x14ac:dyDescent="0.35">
      <c r="A30" s="9" t="s">
        <v>189</v>
      </c>
      <c r="B30" s="6">
        <v>5</v>
      </c>
      <c r="C30" s="10" t="s">
        <v>23</v>
      </c>
      <c r="D30" s="6"/>
      <c r="E30" s="84">
        <f>B30/B4</f>
        <v>4.9652432969215492E-3</v>
      </c>
      <c r="F30" s="91" t="s">
        <v>23</v>
      </c>
      <c r="G30" s="1"/>
    </row>
    <row r="31" spans="1:7" ht="10" customHeight="1" x14ac:dyDescent="0.35">
      <c r="A31" s="326"/>
      <c r="B31" s="321"/>
      <c r="C31" s="321"/>
      <c r="D31" s="321"/>
      <c r="E31" s="321"/>
      <c r="F31" s="322"/>
      <c r="G31" s="1"/>
    </row>
    <row r="32" spans="1:7" ht="25" customHeight="1" x14ac:dyDescent="0.35">
      <c r="A32" s="25" t="s">
        <v>36</v>
      </c>
      <c r="B32" s="321"/>
      <c r="C32" s="321"/>
      <c r="D32" s="321"/>
      <c r="E32" s="321"/>
      <c r="F32" s="322"/>
      <c r="G32" s="1"/>
    </row>
    <row r="33" spans="1:7" ht="20.149999999999999" customHeight="1" x14ac:dyDescent="0.35">
      <c r="A33" s="29" t="s">
        <v>160</v>
      </c>
      <c r="B33" s="18">
        <v>2</v>
      </c>
      <c r="C33" s="22" t="s">
        <v>23</v>
      </c>
      <c r="D33" s="26"/>
      <c r="E33" s="26"/>
      <c r="F33" s="27"/>
      <c r="G33" s="1"/>
    </row>
    <row r="34" spans="1:7" ht="20.149999999999999" customHeight="1" x14ac:dyDescent="0.35">
      <c r="A34" s="21" t="s">
        <v>192</v>
      </c>
      <c r="B34" s="11">
        <v>1</v>
      </c>
      <c r="C34" s="22" t="s">
        <v>23</v>
      </c>
      <c r="D34" s="26"/>
      <c r="E34" s="26"/>
      <c r="F34" s="27"/>
      <c r="G34" s="1"/>
    </row>
    <row r="35" spans="1:7" ht="20.149999999999999" customHeight="1" x14ac:dyDescent="0.35">
      <c r="A35" s="48" t="s">
        <v>193</v>
      </c>
      <c r="B35" s="18">
        <v>1</v>
      </c>
      <c r="C35" s="22" t="s">
        <v>23</v>
      </c>
      <c r="D35" s="26"/>
      <c r="E35" s="26"/>
      <c r="F35" s="27"/>
      <c r="G35" s="1"/>
    </row>
    <row r="36" spans="1:7" ht="10" customHeight="1" x14ac:dyDescent="0.35">
      <c r="A36" s="310"/>
      <c r="B36" s="311"/>
      <c r="C36" s="311"/>
      <c r="D36" s="311"/>
      <c r="E36" s="311"/>
      <c r="F36" s="312"/>
      <c r="G36" s="1"/>
    </row>
    <row r="37" spans="1:7" ht="25" customHeight="1" x14ac:dyDescent="0.35">
      <c r="A37" s="38" t="s">
        <v>59</v>
      </c>
      <c r="B37" s="33"/>
      <c r="C37" s="33"/>
      <c r="D37" s="33"/>
      <c r="E37" s="33"/>
      <c r="F37" s="34"/>
      <c r="G37" s="1"/>
    </row>
    <row r="38" spans="1:7" ht="25" customHeight="1" x14ac:dyDescent="0.35">
      <c r="A38" s="49" t="s">
        <v>43</v>
      </c>
      <c r="B38" s="22">
        <v>37</v>
      </c>
      <c r="C38" s="22">
        <v>25</v>
      </c>
      <c r="D38" s="33"/>
      <c r="E38" s="33"/>
      <c r="F38" s="34"/>
      <c r="G38" s="1"/>
    </row>
    <row r="39" spans="1:7" ht="25" customHeight="1" x14ac:dyDescent="0.35">
      <c r="A39" s="49" t="s">
        <v>44</v>
      </c>
      <c r="B39" s="22">
        <v>34</v>
      </c>
      <c r="C39" s="22">
        <v>26</v>
      </c>
      <c r="D39" s="33"/>
      <c r="E39" s="33"/>
      <c r="F39" s="34"/>
      <c r="G39" s="1"/>
    </row>
    <row r="40" spans="1:7" ht="20.149999999999999" customHeight="1" x14ac:dyDescent="0.35">
      <c r="A40" s="6" t="s">
        <v>60</v>
      </c>
      <c r="B40" s="10">
        <v>69</v>
      </c>
      <c r="C40" s="10">
        <v>32</v>
      </c>
      <c r="D40" s="6"/>
      <c r="E40" s="6"/>
      <c r="F40" s="8"/>
      <c r="G40" s="1"/>
    </row>
    <row r="41" spans="1:7" ht="20.149999999999999" customHeight="1" x14ac:dyDescent="0.35">
      <c r="A41" s="6" t="s">
        <v>197</v>
      </c>
      <c r="B41" s="10">
        <v>63</v>
      </c>
      <c r="C41" s="10">
        <v>32</v>
      </c>
      <c r="D41" s="6"/>
      <c r="E41" s="6"/>
      <c r="F41" s="8"/>
      <c r="G41" s="1"/>
    </row>
    <row r="42" spans="1:7" ht="20.149999999999999" customHeight="1" x14ac:dyDescent="0.35">
      <c r="A42" s="6" t="s">
        <v>9</v>
      </c>
      <c r="B42" s="10">
        <v>69</v>
      </c>
      <c r="C42" s="10">
        <v>29</v>
      </c>
      <c r="D42" s="6"/>
      <c r="E42" s="6"/>
      <c r="F42" s="8"/>
      <c r="G42" s="1"/>
    </row>
    <row r="43" spans="1:7" ht="20.149999999999999" customHeight="1" x14ac:dyDescent="0.35">
      <c r="A43" s="6" t="s">
        <v>196</v>
      </c>
      <c r="B43" s="10">
        <v>51</v>
      </c>
      <c r="C43" s="10" t="s">
        <v>23</v>
      </c>
      <c r="D43" s="6"/>
      <c r="E43" s="6"/>
      <c r="F43" s="8"/>
      <c r="G43" s="1"/>
    </row>
    <row r="44" spans="1:7" ht="20.149999999999999" customHeight="1" x14ac:dyDescent="0.35">
      <c r="A44" s="6" t="s">
        <v>10</v>
      </c>
      <c r="B44" s="10">
        <v>12</v>
      </c>
      <c r="C44" s="10">
        <v>22</v>
      </c>
      <c r="D44" s="6"/>
      <c r="E44" s="6"/>
      <c r="F44" s="8"/>
      <c r="G44" s="1"/>
    </row>
    <row r="45" spans="1:7" ht="20.149999999999999" customHeight="1" x14ac:dyDescent="0.35">
      <c r="A45" s="6" t="s">
        <v>194</v>
      </c>
      <c r="B45" s="10">
        <v>16</v>
      </c>
      <c r="C45" s="10">
        <v>22</v>
      </c>
      <c r="D45" s="6"/>
      <c r="E45" s="6"/>
      <c r="F45" s="8"/>
      <c r="G45" s="1"/>
    </row>
    <row r="46" spans="1:7" ht="20.149999999999999" customHeight="1" x14ac:dyDescent="0.35">
      <c r="A46" s="6" t="s">
        <v>61</v>
      </c>
      <c r="B46" s="10">
        <v>17</v>
      </c>
      <c r="C46" s="10">
        <v>26</v>
      </c>
      <c r="D46" s="6"/>
      <c r="E46" s="6"/>
      <c r="F46" s="8"/>
      <c r="G46" s="1"/>
    </row>
    <row r="47" spans="1:7" ht="20.149999999999999" customHeight="1" x14ac:dyDescent="0.35">
      <c r="A47" s="17" t="s">
        <v>195</v>
      </c>
      <c r="B47" s="10">
        <v>17</v>
      </c>
      <c r="C47" s="10" t="s">
        <v>23</v>
      </c>
      <c r="D47" s="6"/>
      <c r="E47" s="6"/>
      <c r="F47" s="8"/>
      <c r="G47" s="1"/>
    </row>
    <row r="48" spans="1:7" ht="10" customHeight="1" x14ac:dyDescent="0.35">
      <c r="A48" s="310"/>
      <c r="B48" s="311"/>
      <c r="C48" s="311"/>
      <c r="D48" s="311"/>
      <c r="E48" s="311"/>
      <c r="F48" s="312"/>
      <c r="G48" s="1"/>
    </row>
    <row r="49" spans="1:6" ht="25" customHeight="1" x14ac:dyDescent="0.35">
      <c r="A49" s="40" t="s">
        <v>45</v>
      </c>
      <c r="B49" s="37"/>
      <c r="C49" s="37"/>
      <c r="D49" s="37"/>
      <c r="E49" s="37"/>
      <c r="F49" s="37"/>
    </row>
    <row r="50" spans="1:6" ht="25" customHeight="1" x14ac:dyDescent="0.35">
      <c r="A50" s="54" t="s">
        <v>88</v>
      </c>
      <c r="B50" s="28">
        <v>145</v>
      </c>
      <c r="C50" s="37"/>
      <c r="D50" s="37"/>
      <c r="E50" s="37"/>
      <c r="F50" s="37"/>
    </row>
    <row r="51" spans="1:6" ht="20.149999999999999" customHeight="1" x14ac:dyDescent="0.35">
      <c r="A51" s="29" t="s">
        <v>25</v>
      </c>
      <c r="B51">
        <v>116</v>
      </c>
      <c r="E51" s="5">
        <v>0.8</v>
      </c>
    </row>
    <row r="52" spans="1:6" ht="20.149999999999999" customHeight="1" x14ac:dyDescent="0.35">
      <c r="A52" s="29" t="s">
        <v>26</v>
      </c>
      <c r="B52">
        <v>29</v>
      </c>
      <c r="E52" s="5">
        <v>0.2</v>
      </c>
    </row>
    <row r="53" spans="1:6" ht="20.149999999999999" customHeight="1" x14ac:dyDescent="0.35">
      <c r="A53" s="18" t="s">
        <v>80</v>
      </c>
      <c r="B53" s="28"/>
      <c r="C53" s="18"/>
      <c r="D53" s="18"/>
      <c r="E53" s="18"/>
      <c r="F53" s="23"/>
    </row>
    <row r="54" spans="1:6" ht="20.149999999999999" customHeight="1" x14ac:dyDescent="0.35">
      <c r="A54" s="29" t="s">
        <v>25</v>
      </c>
      <c r="B54" s="28">
        <v>31</v>
      </c>
    </row>
    <row r="55" spans="1:6" ht="20.149999999999999" customHeight="1" x14ac:dyDescent="0.35">
      <c r="A55" s="29" t="s">
        <v>26</v>
      </c>
      <c r="B55" s="28">
        <v>29</v>
      </c>
    </row>
    <row r="56" spans="1:6" ht="10" customHeight="1" x14ac:dyDescent="0.35">
      <c r="A56" s="42"/>
      <c r="B56" s="43"/>
      <c r="C56" s="30"/>
      <c r="D56" s="30"/>
      <c r="E56" s="30"/>
      <c r="F56" s="31"/>
    </row>
    <row r="57" spans="1:6" x14ac:dyDescent="0.35">
      <c r="A57" s="40" t="s">
        <v>46</v>
      </c>
      <c r="B57" s="28"/>
    </row>
    <row r="58" spans="1:6" ht="20.149999999999999" customHeight="1" x14ac:dyDescent="0.35">
      <c r="A58" s="32" t="s">
        <v>34</v>
      </c>
      <c r="B58">
        <v>20</v>
      </c>
    </row>
    <row r="59" spans="1:6" ht="20.149999999999999" customHeight="1" x14ac:dyDescent="0.35">
      <c r="A59" s="29" t="s">
        <v>25</v>
      </c>
      <c r="B59" s="28">
        <v>17</v>
      </c>
      <c r="E59" s="5"/>
    </row>
    <row r="60" spans="1:6" ht="20.149999999999999" customHeight="1" x14ac:dyDescent="0.35">
      <c r="A60" s="29" t="s">
        <v>26</v>
      </c>
      <c r="B60" s="28">
        <v>3</v>
      </c>
      <c r="E60" s="5"/>
    </row>
    <row r="61" spans="1:6" ht="20.149999999999999" customHeight="1" x14ac:dyDescent="0.35">
      <c r="A61" s="18" t="s">
        <v>35</v>
      </c>
      <c r="B61" s="18"/>
      <c r="C61" s="18"/>
      <c r="D61" s="18"/>
      <c r="E61" s="18"/>
      <c r="F61" s="23"/>
    </row>
    <row r="62" spans="1:6" ht="20.149999999999999" customHeight="1" x14ac:dyDescent="0.35">
      <c r="A62" s="29" t="s">
        <v>25</v>
      </c>
      <c r="B62" s="28" t="s">
        <v>198</v>
      </c>
      <c r="C62" s="18"/>
      <c r="D62" s="18"/>
      <c r="E62" s="18"/>
      <c r="F62" s="23"/>
    </row>
    <row r="63" spans="1:6" ht="20.149999999999999" customHeight="1" x14ac:dyDescent="0.35">
      <c r="A63" s="29" t="s">
        <v>26</v>
      </c>
      <c r="B63" s="28" t="s">
        <v>198</v>
      </c>
      <c r="C63" s="18"/>
      <c r="D63" s="18"/>
      <c r="E63" s="18"/>
      <c r="F63" s="23"/>
    </row>
    <row r="64" spans="1:6" ht="10" customHeight="1" x14ac:dyDescent="0.35">
      <c r="A64" s="30"/>
      <c r="B64" s="30"/>
      <c r="C64" s="30"/>
      <c r="D64" s="30"/>
      <c r="E64" s="30"/>
      <c r="F64" s="31"/>
    </row>
    <row r="65" spans="1:7" ht="25" customHeight="1" x14ac:dyDescent="0.35">
      <c r="A65" s="40" t="s">
        <v>40</v>
      </c>
      <c r="F65" s="47"/>
    </row>
    <row r="66" spans="1:7" ht="25" customHeight="1" x14ac:dyDescent="0.35">
      <c r="A66" s="18" t="s">
        <v>74</v>
      </c>
    </row>
    <row r="67" spans="1:7" s="29" customFormat="1" ht="20.149999999999999" customHeight="1" x14ac:dyDescent="0.3">
      <c r="A67" s="29" t="s">
        <v>37</v>
      </c>
      <c r="B67" s="28">
        <v>86</v>
      </c>
      <c r="C67" s="28">
        <v>3</v>
      </c>
      <c r="F67" s="41"/>
    </row>
    <row r="68" spans="1:7" s="29" customFormat="1" ht="20.149999999999999" customHeight="1" x14ac:dyDescent="0.3">
      <c r="A68" s="29" t="s">
        <v>38</v>
      </c>
      <c r="B68" s="28">
        <v>440</v>
      </c>
      <c r="C68" s="28">
        <v>3</v>
      </c>
      <c r="F68" s="41"/>
    </row>
    <row r="69" spans="1:7" ht="20.149999999999999" customHeight="1" x14ac:dyDescent="0.35">
      <c r="A69" s="9" t="s">
        <v>1</v>
      </c>
      <c r="B69" s="10">
        <v>4</v>
      </c>
      <c r="C69" s="10" t="s">
        <v>23</v>
      </c>
      <c r="D69" s="6"/>
      <c r="E69" s="6"/>
      <c r="F69" s="8"/>
      <c r="G69" s="1"/>
    </row>
    <row r="70" spans="1:7" ht="25" customHeight="1" x14ac:dyDescent="0.35">
      <c r="A70" s="313" t="s">
        <v>75</v>
      </c>
      <c r="B70" s="314"/>
      <c r="C70" s="314"/>
      <c r="D70" s="314"/>
      <c r="E70" s="314"/>
      <c r="F70" s="315"/>
      <c r="G70" s="1"/>
    </row>
    <row r="71" spans="1:7" ht="20.149999999999999" customHeight="1" x14ac:dyDescent="0.35">
      <c r="A71" s="58">
        <v>44347</v>
      </c>
      <c r="B71" s="11">
        <v>50</v>
      </c>
      <c r="C71" s="11"/>
      <c r="D71" s="11"/>
      <c r="E71" s="11"/>
      <c r="F71" s="44"/>
      <c r="G71" s="1"/>
    </row>
    <row r="72" spans="1:7" ht="20.149999999999999" customHeight="1" x14ac:dyDescent="0.35">
      <c r="A72" s="58">
        <v>44349</v>
      </c>
      <c r="B72" s="11">
        <v>57</v>
      </c>
      <c r="C72" s="11"/>
      <c r="D72" s="11"/>
      <c r="E72" s="11"/>
      <c r="F72" s="44"/>
      <c r="G72" s="1"/>
    </row>
    <row r="73" spans="1:7" ht="20.149999999999999" customHeight="1" x14ac:dyDescent="0.35">
      <c r="A73" s="58">
        <v>44358</v>
      </c>
      <c r="B73" s="11">
        <v>65</v>
      </c>
      <c r="C73" s="11"/>
      <c r="D73" s="11"/>
      <c r="E73" s="11"/>
      <c r="F73" s="44"/>
      <c r="G73" s="1"/>
    </row>
    <row r="74" spans="1:7" ht="20.149999999999999" customHeight="1" x14ac:dyDescent="0.35">
      <c r="A74" s="58">
        <v>44359</v>
      </c>
      <c r="B74" s="11">
        <v>39</v>
      </c>
      <c r="C74" s="11"/>
      <c r="D74" s="11"/>
      <c r="E74" s="11"/>
      <c r="F74" s="44"/>
      <c r="G74" s="1"/>
    </row>
    <row r="75" spans="1:7" ht="10" customHeight="1" x14ac:dyDescent="0.35">
      <c r="A75" s="13"/>
      <c r="B75" s="14"/>
      <c r="C75" s="14"/>
      <c r="D75" s="14"/>
      <c r="E75" s="14"/>
      <c r="F75" s="15"/>
      <c r="G75" s="1"/>
    </row>
    <row r="76" spans="1:7" ht="25" customHeight="1" x14ac:dyDescent="0.35">
      <c r="A76" s="38" t="s">
        <v>62</v>
      </c>
      <c r="B76" s="11"/>
      <c r="C76" s="11"/>
      <c r="D76" s="11"/>
      <c r="E76" s="11"/>
      <c r="F76" s="44"/>
      <c r="G76" s="1"/>
    </row>
    <row r="77" spans="1:7" ht="25" customHeight="1" x14ac:dyDescent="0.35">
      <c r="A77" s="316" t="s">
        <v>68</v>
      </c>
      <c r="B77" s="318" t="s">
        <v>3</v>
      </c>
      <c r="C77" s="318"/>
      <c r="E77" s="319" t="s">
        <v>4</v>
      </c>
      <c r="F77" s="320"/>
      <c r="G77" s="1"/>
    </row>
    <row r="78" spans="1:7" ht="14.25" customHeight="1" x14ac:dyDescent="0.35">
      <c r="A78" s="317"/>
      <c r="B78" s="52" t="s">
        <v>52</v>
      </c>
      <c r="C78" s="33" t="s">
        <v>51</v>
      </c>
      <c r="D78" s="57" t="s">
        <v>95</v>
      </c>
      <c r="E78" s="33" t="s">
        <v>52</v>
      </c>
      <c r="F78" s="33" t="s">
        <v>51</v>
      </c>
      <c r="G78" s="1"/>
    </row>
    <row r="79" spans="1:7" ht="20.149999999999999" customHeight="1" x14ac:dyDescent="0.35">
      <c r="A79" s="9" t="s">
        <v>11</v>
      </c>
      <c r="B79" s="6">
        <v>943</v>
      </c>
      <c r="C79" s="10">
        <v>490</v>
      </c>
      <c r="D79" s="23">
        <f>C79/B79</f>
        <v>0.51961823966065745</v>
      </c>
      <c r="E79" s="6"/>
      <c r="F79" s="53"/>
      <c r="G79" s="1"/>
    </row>
    <row r="80" spans="1:7" ht="20.149999999999999" customHeight="1" x14ac:dyDescent="0.35">
      <c r="A80" s="9" t="s">
        <v>63</v>
      </c>
      <c r="B80" s="6">
        <v>16</v>
      </c>
      <c r="C80" s="10">
        <v>11</v>
      </c>
      <c r="D80" s="23">
        <f>C80/B80</f>
        <v>0.6875</v>
      </c>
      <c r="E80" s="6"/>
      <c r="F80" s="53"/>
      <c r="G80" s="1"/>
    </row>
    <row r="81" spans="1:7" ht="20.149999999999999" customHeight="1" x14ac:dyDescent="0.35">
      <c r="A81" s="9" t="s">
        <v>13</v>
      </c>
      <c r="B81" s="6">
        <v>8</v>
      </c>
      <c r="C81" s="10">
        <v>4</v>
      </c>
      <c r="D81" s="23">
        <f>C81/B81</f>
        <v>0.5</v>
      </c>
      <c r="E81" s="6"/>
      <c r="F81" s="6"/>
      <c r="G81" s="1"/>
    </row>
    <row r="82" spans="1:7" ht="20.149999999999999" customHeight="1" x14ac:dyDescent="0.35">
      <c r="A82" s="9" t="s">
        <v>12</v>
      </c>
      <c r="B82" s="6">
        <v>19</v>
      </c>
      <c r="C82" s="10">
        <v>15</v>
      </c>
      <c r="D82" s="23">
        <f t="shared" ref="D82:D88" si="0">C82/B82</f>
        <v>0.78947368421052633</v>
      </c>
      <c r="E82" s="6"/>
      <c r="F82" s="6"/>
      <c r="G82" s="1"/>
    </row>
    <row r="83" spans="1:7" ht="20.149999999999999" customHeight="1" x14ac:dyDescent="0.35">
      <c r="A83" s="16" t="s">
        <v>199</v>
      </c>
      <c r="B83" s="17">
        <v>5</v>
      </c>
      <c r="C83" s="10">
        <v>5</v>
      </c>
      <c r="D83" s="23">
        <f t="shared" si="0"/>
        <v>1</v>
      </c>
      <c r="E83" s="6"/>
      <c r="F83" s="6"/>
      <c r="G83" s="1"/>
    </row>
    <row r="84" spans="1:7" ht="20.149999999999999" customHeight="1" x14ac:dyDescent="0.35">
      <c r="A84" s="16" t="s">
        <v>200</v>
      </c>
      <c r="B84" s="6">
        <v>2</v>
      </c>
      <c r="C84" s="10">
        <v>2</v>
      </c>
      <c r="D84" s="23">
        <f t="shared" si="0"/>
        <v>1</v>
      </c>
      <c r="E84" s="18"/>
      <c r="F84" s="18"/>
    </row>
    <row r="85" spans="1:7" ht="20.149999999999999" customHeight="1" x14ac:dyDescent="0.35">
      <c r="A85" s="16" t="s">
        <v>204</v>
      </c>
      <c r="B85" s="6">
        <v>3</v>
      </c>
      <c r="C85" s="10">
        <v>0</v>
      </c>
      <c r="D85" s="23">
        <f t="shared" si="0"/>
        <v>0</v>
      </c>
      <c r="E85" s="28" t="s">
        <v>23</v>
      </c>
      <c r="F85" s="28" t="s">
        <v>23</v>
      </c>
    </row>
    <row r="86" spans="1:7" ht="20.149999999999999" customHeight="1" x14ac:dyDescent="0.35">
      <c r="A86" s="16" t="s">
        <v>201</v>
      </c>
      <c r="B86" s="6">
        <v>4</v>
      </c>
      <c r="C86" s="10">
        <v>3</v>
      </c>
      <c r="D86" s="23">
        <f t="shared" si="0"/>
        <v>0.75</v>
      </c>
      <c r="E86" s="28"/>
      <c r="F86" s="28"/>
    </row>
    <row r="87" spans="1:7" ht="20.149999999999999" customHeight="1" x14ac:dyDescent="0.35">
      <c r="A87" s="9" t="s">
        <v>203</v>
      </c>
      <c r="B87" s="17">
        <v>3</v>
      </c>
      <c r="C87" s="10">
        <v>0</v>
      </c>
      <c r="D87" s="23">
        <f t="shared" si="0"/>
        <v>0</v>
      </c>
      <c r="E87" s="10" t="s">
        <v>23</v>
      </c>
      <c r="F87" s="10" t="s">
        <v>23</v>
      </c>
      <c r="G87" s="1"/>
    </row>
    <row r="88" spans="1:7" ht="20.149999999999999" customHeight="1" x14ac:dyDescent="0.35">
      <c r="A88" s="16" t="s">
        <v>202</v>
      </c>
      <c r="B88" s="6">
        <v>4</v>
      </c>
      <c r="C88" s="10">
        <v>0</v>
      </c>
      <c r="D88" s="23">
        <f t="shared" si="0"/>
        <v>0</v>
      </c>
      <c r="E88" s="10"/>
      <c r="F88" s="10"/>
      <c r="G88" s="1"/>
    </row>
    <row r="89" spans="1:7" ht="4.5" customHeight="1" x14ac:dyDescent="0.35">
      <c r="A89" s="16"/>
      <c r="B89" s="6"/>
      <c r="C89" s="10"/>
      <c r="D89" s="23"/>
      <c r="E89" s="10"/>
      <c r="F89" s="10"/>
      <c r="G89" s="1"/>
    </row>
    <row r="90" spans="1:7" ht="20.149999999999999" customHeight="1" x14ac:dyDescent="0.35">
      <c r="A90" s="16" t="s">
        <v>66</v>
      </c>
      <c r="B90" s="6"/>
      <c r="C90" s="10"/>
      <c r="D90" s="23"/>
      <c r="E90" s="10" t="s">
        <v>23</v>
      </c>
      <c r="F90" s="10" t="s">
        <v>23</v>
      </c>
      <c r="G90" s="1"/>
    </row>
    <row r="91" spans="1:7" ht="20.149999999999999" customHeight="1" x14ac:dyDescent="0.35">
      <c r="A91" s="9" t="s">
        <v>67</v>
      </c>
      <c r="B91" s="24"/>
      <c r="C91" s="10"/>
      <c r="D91" s="23"/>
      <c r="E91" s="10">
        <v>17</v>
      </c>
      <c r="F91" s="10">
        <v>6</v>
      </c>
      <c r="G91" s="1"/>
    </row>
    <row r="92" spans="1:7" ht="10" customHeight="1" x14ac:dyDescent="0.35">
      <c r="A92" s="13"/>
      <c r="B92" s="14"/>
      <c r="C92" s="14"/>
      <c r="D92" s="14"/>
      <c r="E92" s="14"/>
      <c r="F92" s="15"/>
      <c r="G92" s="1"/>
    </row>
    <row r="93" spans="1:7" ht="25" customHeight="1" x14ac:dyDescent="0.35">
      <c r="A93" s="46" t="s">
        <v>39</v>
      </c>
      <c r="B93" s="11"/>
      <c r="C93" s="11"/>
      <c r="D93" s="11"/>
      <c r="E93" s="11"/>
      <c r="F93" s="45"/>
      <c r="G93" s="1"/>
    </row>
    <row r="94" spans="1:7" ht="28.5" customHeight="1" x14ac:dyDescent="0.35">
      <c r="A94" s="6" t="s">
        <v>53</v>
      </c>
      <c r="B94" s="19" t="s">
        <v>19</v>
      </c>
      <c r="C94" s="20" t="s">
        <v>18</v>
      </c>
      <c r="D94" s="19"/>
      <c r="E94" s="19"/>
      <c r="F94" s="50"/>
      <c r="G94" s="1"/>
    </row>
    <row r="95" spans="1:7" ht="20.149999999999999" customHeight="1" x14ac:dyDescent="0.35">
      <c r="A95" s="21" t="s">
        <v>16</v>
      </c>
      <c r="B95" s="22">
        <v>17</v>
      </c>
      <c r="C95" s="22">
        <v>19</v>
      </c>
      <c r="D95" s="22"/>
      <c r="E95" s="22"/>
      <c r="F95" s="12"/>
      <c r="G95" s="1"/>
    </row>
    <row r="96" spans="1:7" ht="20.149999999999999" customHeight="1" x14ac:dyDescent="0.35">
      <c r="A96" s="21" t="s">
        <v>4</v>
      </c>
      <c r="B96" s="22">
        <v>15</v>
      </c>
      <c r="C96" s="22" t="s">
        <v>23</v>
      </c>
      <c r="D96" s="22"/>
      <c r="E96" s="22"/>
      <c r="F96" s="12"/>
      <c r="G96" s="1"/>
    </row>
  </sheetData>
  <mergeCells count="12">
    <mergeCell ref="A36:F36"/>
    <mergeCell ref="A48:F48"/>
    <mergeCell ref="A70:F70"/>
    <mergeCell ref="A77:A78"/>
    <mergeCell ref="B77:C77"/>
    <mergeCell ref="E77:F77"/>
    <mergeCell ref="B32:F32"/>
    <mergeCell ref="A1:F1"/>
    <mergeCell ref="B18:F18"/>
    <mergeCell ref="A23:F23"/>
    <mergeCell ref="B25:F25"/>
    <mergeCell ref="A31:F31"/>
  </mergeCells>
  <printOptions horizontalCentered="1" gridLines="1"/>
  <pageMargins left="0.25" right="0.25" top="0.75" bottom="0.75" header="0.3" footer="0.3"/>
  <pageSetup scale="72" fitToWidth="2" fitToHeight="2" orientation="portrait" r:id="rId1"/>
  <rowBreaks count="2" manualBreakCount="2">
    <brk id="48" max="16383" man="1"/>
    <brk id="75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0.39997558519241921"/>
    <pageSetUpPr fitToPage="1"/>
  </sheetPr>
  <dimension ref="A1:G90"/>
  <sheetViews>
    <sheetView zoomScaleNormal="100" workbookViewId="0">
      <pane ySplit="1" topLeftCell="A80" activePane="bottomLeft" state="frozen"/>
      <selection pane="bottomLeft" activeCell="H45" sqref="H45"/>
    </sheetView>
  </sheetViews>
  <sheetFormatPr defaultColWidth="8.81640625" defaultRowHeight="14.5" x14ac:dyDescent="0.35"/>
  <cols>
    <col min="1" max="1" width="43.453125" customWidth="1"/>
    <col min="2" max="4" width="9.81640625" customWidth="1"/>
    <col min="5" max="5" width="10.81640625" customWidth="1"/>
    <col min="6" max="6" width="10.81640625" style="5" customWidth="1"/>
  </cols>
  <sheetData>
    <row r="1" spans="1:7" ht="23.15" customHeight="1" x14ac:dyDescent="0.35">
      <c r="A1" s="323" t="s">
        <v>79</v>
      </c>
      <c r="B1" s="323"/>
      <c r="C1" s="323"/>
      <c r="D1" s="323"/>
      <c r="E1" s="323"/>
      <c r="F1" s="323"/>
    </row>
    <row r="2" spans="1:7" ht="45" customHeight="1" x14ac:dyDescent="0.35">
      <c r="A2" s="2"/>
      <c r="B2" s="3" t="s">
        <v>3</v>
      </c>
      <c r="C2" s="3" t="s">
        <v>4</v>
      </c>
      <c r="D2" s="3" t="s">
        <v>0</v>
      </c>
      <c r="E2" s="55" t="s">
        <v>93</v>
      </c>
      <c r="F2" s="4" t="s">
        <v>94</v>
      </c>
    </row>
    <row r="3" spans="1:7" ht="32.25" customHeight="1" x14ac:dyDescent="0.35">
      <c r="A3" s="39" t="s">
        <v>32</v>
      </c>
      <c r="B3" s="35"/>
      <c r="C3" s="35"/>
      <c r="D3" s="35"/>
      <c r="E3" s="35"/>
      <c r="F3" s="36"/>
    </row>
    <row r="4" spans="1:7" ht="20.149999999999999" customHeight="1" x14ac:dyDescent="0.35">
      <c r="A4" s="6" t="s">
        <v>41</v>
      </c>
      <c r="B4" s="6">
        <v>1226</v>
      </c>
      <c r="C4" s="6">
        <v>21</v>
      </c>
      <c r="D4" s="6">
        <f t="shared" ref="D4:D10" si="0">B4+C4</f>
        <v>1247</v>
      </c>
      <c r="E4" s="6"/>
      <c r="F4" s="7"/>
      <c r="G4" s="1"/>
    </row>
    <row r="5" spans="1:7" ht="20.149999999999999" customHeight="1" x14ac:dyDescent="0.35">
      <c r="A5" s="6" t="s">
        <v>5</v>
      </c>
      <c r="B5" s="6">
        <v>588</v>
      </c>
      <c r="C5" s="6">
        <v>0</v>
      </c>
      <c r="D5" s="6">
        <f t="shared" si="0"/>
        <v>588</v>
      </c>
      <c r="E5" s="8">
        <v>0.47</v>
      </c>
      <c r="F5" s="56"/>
      <c r="G5" s="1"/>
    </row>
    <row r="6" spans="1:7" ht="20.149999999999999" customHeight="1" x14ac:dyDescent="0.35">
      <c r="A6" s="6" t="s">
        <v>42</v>
      </c>
      <c r="B6" s="6">
        <v>601</v>
      </c>
      <c r="C6" s="6">
        <v>21</v>
      </c>
      <c r="D6" s="6">
        <f t="shared" si="0"/>
        <v>622</v>
      </c>
      <c r="E6" s="8">
        <v>0.5</v>
      </c>
      <c r="F6" s="23"/>
      <c r="G6" s="1"/>
    </row>
    <row r="7" spans="1:7" ht="20.149999999999999" customHeight="1" x14ac:dyDescent="0.35">
      <c r="A7" s="6" t="s">
        <v>2</v>
      </c>
      <c r="B7" s="6">
        <v>37</v>
      </c>
      <c r="C7" s="6">
        <v>0</v>
      </c>
      <c r="D7" s="6">
        <f t="shared" si="0"/>
        <v>37</v>
      </c>
      <c r="E7" s="8">
        <v>0.03</v>
      </c>
      <c r="F7" s="56"/>
      <c r="G7" s="1"/>
    </row>
    <row r="8" spans="1:7" ht="20.149999999999999" customHeight="1" x14ac:dyDescent="0.35">
      <c r="A8" s="6" t="s">
        <v>24</v>
      </c>
      <c r="B8" s="6">
        <v>191</v>
      </c>
      <c r="C8" s="6">
        <v>4</v>
      </c>
      <c r="D8" s="6">
        <f t="shared" si="0"/>
        <v>195</v>
      </c>
      <c r="E8" s="8">
        <v>0.16</v>
      </c>
      <c r="F8" s="23">
        <f>C8/C4</f>
        <v>0.19047619047619047</v>
      </c>
      <c r="G8" s="1"/>
    </row>
    <row r="9" spans="1:7" ht="20.149999999999999" customHeight="1" x14ac:dyDescent="0.35">
      <c r="A9" s="17" t="s">
        <v>49</v>
      </c>
      <c r="B9" s="17">
        <v>791</v>
      </c>
      <c r="C9" s="18">
        <v>8</v>
      </c>
      <c r="D9" s="6">
        <f t="shared" si="0"/>
        <v>799</v>
      </c>
      <c r="E9" s="51">
        <v>0.65</v>
      </c>
      <c r="F9" s="23">
        <f>C9/C4</f>
        <v>0.38095238095238093</v>
      </c>
      <c r="G9" s="1"/>
    </row>
    <row r="10" spans="1:7" ht="20.149999999999999" customHeight="1" x14ac:dyDescent="0.35">
      <c r="A10" s="17" t="s">
        <v>50</v>
      </c>
      <c r="B10" s="17">
        <v>100</v>
      </c>
      <c r="C10" s="18">
        <v>0</v>
      </c>
      <c r="D10" s="6">
        <f t="shared" si="0"/>
        <v>100</v>
      </c>
      <c r="E10" s="23">
        <v>0.08</v>
      </c>
      <c r="F10" s="56"/>
      <c r="G10" s="1"/>
    </row>
    <row r="11" spans="1:7" ht="20.149999999999999" customHeight="1" x14ac:dyDescent="0.35">
      <c r="A11" s="59" t="s">
        <v>96</v>
      </c>
      <c r="B11" s="60">
        <v>43604</v>
      </c>
      <c r="C11" s="60">
        <v>43622</v>
      </c>
      <c r="D11" s="11"/>
      <c r="E11" s="23"/>
      <c r="F11" s="56"/>
      <c r="G11" s="1"/>
    </row>
    <row r="12" spans="1:7" ht="20.149999999999999" customHeight="1" x14ac:dyDescent="0.35">
      <c r="A12" s="59" t="s">
        <v>97</v>
      </c>
      <c r="B12" s="60">
        <v>43653</v>
      </c>
      <c r="C12" s="60">
        <v>43628</v>
      </c>
      <c r="D12" s="11"/>
      <c r="E12" s="23"/>
      <c r="F12" s="56"/>
      <c r="G12" s="1"/>
    </row>
    <row r="13" spans="1:7" ht="10" customHeight="1" x14ac:dyDescent="0.35">
      <c r="A13" s="13"/>
      <c r="B13" s="14"/>
      <c r="C13" s="14"/>
      <c r="D13" s="14"/>
      <c r="E13" s="14"/>
      <c r="F13" s="15"/>
      <c r="G13" s="1"/>
    </row>
    <row r="14" spans="1:7" ht="25" customHeight="1" x14ac:dyDescent="0.35">
      <c r="A14" s="38" t="s">
        <v>31</v>
      </c>
      <c r="B14" s="33"/>
      <c r="C14" s="33"/>
      <c r="D14" s="33"/>
      <c r="E14" s="33"/>
      <c r="F14" s="34"/>
      <c r="G14" s="1"/>
    </row>
    <row r="15" spans="1:7" ht="27.75" customHeight="1" x14ac:dyDescent="0.35">
      <c r="A15" s="61" t="s">
        <v>98</v>
      </c>
      <c r="B15" s="62"/>
      <c r="C15" s="63"/>
      <c r="D15" s="6">
        <f>B15+C15</f>
        <v>0</v>
      </c>
      <c r="E15" s="8">
        <v>0.6</v>
      </c>
      <c r="F15" s="23">
        <f>C15/C4</f>
        <v>0</v>
      </c>
      <c r="G15" s="1"/>
    </row>
    <row r="16" spans="1:7" ht="20.149999999999999" customHeight="1" x14ac:dyDescent="0.35">
      <c r="A16" s="10" t="s">
        <v>33</v>
      </c>
      <c r="B16" s="327"/>
      <c r="C16" s="319"/>
      <c r="D16" s="319"/>
      <c r="E16" s="319"/>
      <c r="F16" s="320"/>
      <c r="G16" s="1"/>
    </row>
    <row r="17" spans="1:7" ht="20.149999999999999" customHeight="1" x14ac:dyDescent="0.35">
      <c r="A17" s="9" t="s">
        <v>7</v>
      </c>
      <c r="B17" s="6"/>
      <c r="C17" s="10"/>
      <c r="D17" s="6"/>
      <c r="E17" s="8"/>
      <c r="G17" s="1"/>
    </row>
    <row r="18" spans="1:7" ht="20.149999999999999" customHeight="1" x14ac:dyDescent="0.35">
      <c r="A18" s="9" t="s">
        <v>6</v>
      </c>
      <c r="B18" s="6"/>
      <c r="C18" s="10"/>
      <c r="D18" s="6"/>
      <c r="E18" s="8"/>
      <c r="G18" s="1"/>
    </row>
    <row r="19" spans="1:7" ht="20.149999999999999" customHeight="1" x14ac:dyDescent="0.35">
      <c r="A19" s="9" t="s">
        <v>8</v>
      </c>
      <c r="B19" s="6"/>
      <c r="C19" s="10"/>
      <c r="D19" s="6"/>
      <c r="E19" s="8"/>
      <c r="G19" s="1"/>
    </row>
    <row r="20" spans="1:7" ht="20.149999999999999" customHeight="1" x14ac:dyDescent="0.35">
      <c r="A20" s="9" t="s">
        <v>47</v>
      </c>
      <c r="B20" s="6"/>
      <c r="C20" s="10"/>
      <c r="D20" s="6"/>
      <c r="E20" s="8"/>
      <c r="G20" s="1"/>
    </row>
    <row r="21" spans="1:7" ht="10" customHeight="1" x14ac:dyDescent="0.35">
      <c r="A21" s="324"/>
      <c r="B21" s="325"/>
      <c r="C21" s="325"/>
      <c r="D21" s="325"/>
      <c r="E21" s="325"/>
      <c r="F21" s="325"/>
      <c r="G21" s="1"/>
    </row>
    <row r="22" spans="1:7" ht="20.149999999999999" customHeight="1" x14ac:dyDescent="0.35">
      <c r="A22" s="6" t="s">
        <v>54</v>
      </c>
      <c r="B22" s="6">
        <v>494</v>
      </c>
      <c r="C22" s="6">
        <v>3</v>
      </c>
      <c r="D22" s="6">
        <f>B22+C22</f>
        <v>497</v>
      </c>
      <c r="E22" s="8">
        <v>0.4</v>
      </c>
      <c r="F22" s="23">
        <f>C22/$C4</f>
        <v>0.14285714285714285</v>
      </c>
      <c r="G22" s="1"/>
    </row>
    <row r="23" spans="1:7" ht="25" customHeight="1" x14ac:dyDescent="0.35">
      <c r="A23" s="10" t="s">
        <v>22</v>
      </c>
      <c r="B23" s="327"/>
      <c r="C23" s="319"/>
      <c r="D23" s="319"/>
      <c r="E23" s="319"/>
      <c r="F23" s="320"/>
      <c r="G23" s="1"/>
    </row>
    <row r="24" spans="1:7" ht="20.149999999999999" customHeight="1" x14ac:dyDescent="0.35">
      <c r="A24" s="9" t="s">
        <v>55</v>
      </c>
      <c r="B24" s="6">
        <v>47</v>
      </c>
      <c r="C24" s="10"/>
      <c r="D24" s="6">
        <v>47</v>
      </c>
      <c r="E24" s="8">
        <f>D24/D4</f>
        <v>3.7690457097032878E-2</v>
      </c>
      <c r="G24" s="1"/>
    </row>
    <row r="25" spans="1:7" ht="20.149999999999999" customHeight="1" x14ac:dyDescent="0.35">
      <c r="A25" s="9" t="s">
        <v>56</v>
      </c>
      <c r="B25" s="6">
        <v>41</v>
      </c>
      <c r="C25" s="10"/>
      <c r="D25" s="6">
        <v>41</v>
      </c>
      <c r="E25" s="8">
        <f>D25/D4</f>
        <v>3.2878909382518043E-2</v>
      </c>
      <c r="G25" s="1"/>
    </row>
    <row r="26" spans="1:7" ht="20.149999999999999" customHeight="1" x14ac:dyDescent="0.35">
      <c r="A26" s="9" t="s">
        <v>48</v>
      </c>
      <c r="B26" s="6">
        <v>38</v>
      </c>
      <c r="C26" s="10"/>
      <c r="D26" s="6">
        <v>38</v>
      </c>
      <c r="E26" s="8">
        <f>D26/D4</f>
        <v>3.0473135525260625E-2</v>
      </c>
      <c r="G26" s="1"/>
    </row>
    <row r="27" spans="1:7" ht="20.149999999999999" customHeight="1" x14ac:dyDescent="0.35">
      <c r="A27" s="9" t="s">
        <v>57</v>
      </c>
      <c r="B27" s="6">
        <v>29</v>
      </c>
      <c r="C27" s="10"/>
      <c r="D27" s="6">
        <v>29</v>
      </c>
      <c r="E27" s="8">
        <v>0.02</v>
      </c>
      <c r="G27" s="1"/>
    </row>
    <row r="28" spans="1:7" ht="20.149999999999999" customHeight="1" x14ac:dyDescent="0.35">
      <c r="A28" s="21" t="s">
        <v>58</v>
      </c>
      <c r="B28" s="11">
        <v>28</v>
      </c>
      <c r="C28" s="10"/>
      <c r="D28" s="6">
        <v>28</v>
      </c>
      <c r="E28" s="8">
        <v>0.02</v>
      </c>
      <c r="G28" s="1"/>
    </row>
    <row r="29" spans="1:7" ht="10" customHeight="1" x14ac:dyDescent="0.35">
      <c r="A29" s="326"/>
      <c r="B29" s="321"/>
      <c r="C29" s="321"/>
      <c r="D29" s="321"/>
      <c r="E29" s="321"/>
      <c r="F29" s="322"/>
      <c r="G29" s="1"/>
    </row>
    <row r="30" spans="1:7" ht="25" customHeight="1" x14ac:dyDescent="0.35">
      <c r="A30" s="25" t="s">
        <v>36</v>
      </c>
      <c r="B30" s="321"/>
      <c r="C30" s="321"/>
      <c r="D30" s="321"/>
      <c r="E30" s="321"/>
      <c r="F30" s="322"/>
      <c r="G30" s="1"/>
    </row>
    <row r="31" spans="1:7" ht="20.149999999999999" customHeight="1" x14ac:dyDescent="0.35">
      <c r="A31" s="21" t="s">
        <v>71</v>
      </c>
      <c r="B31" s="11"/>
      <c r="C31" s="11"/>
      <c r="D31" s="26"/>
      <c r="E31" s="26"/>
      <c r="F31" s="27"/>
      <c r="G31" s="1"/>
    </row>
    <row r="32" spans="1:7" ht="20.149999999999999" customHeight="1" x14ac:dyDescent="0.35">
      <c r="A32" s="48" t="s">
        <v>72</v>
      </c>
      <c r="B32" s="18"/>
      <c r="C32" s="11"/>
      <c r="D32" s="26"/>
      <c r="E32" s="26"/>
      <c r="F32" s="27"/>
      <c r="G32" s="1"/>
    </row>
    <row r="33" spans="1:7" ht="20.149999999999999" customHeight="1" x14ac:dyDescent="0.35">
      <c r="A33" s="21" t="s">
        <v>73</v>
      </c>
      <c r="B33" s="11"/>
      <c r="C33" s="11"/>
      <c r="D33" s="26"/>
      <c r="E33" s="26"/>
      <c r="F33" s="27"/>
      <c r="G33" s="1"/>
    </row>
    <row r="34" spans="1:7" ht="10" customHeight="1" x14ac:dyDescent="0.35">
      <c r="A34" s="310"/>
      <c r="B34" s="311"/>
      <c r="C34" s="311"/>
      <c r="D34" s="311"/>
      <c r="E34" s="311"/>
      <c r="F34" s="312"/>
      <c r="G34" s="1"/>
    </row>
    <row r="35" spans="1:7" ht="25" customHeight="1" x14ac:dyDescent="0.35">
      <c r="A35" s="38" t="s">
        <v>59</v>
      </c>
      <c r="B35" s="33"/>
      <c r="C35" s="33"/>
      <c r="D35" s="33"/>
      <c r="E35" s="33"/>
      <c r="F35" s="34"/>
      <c r="G35" s="1"/>
    </row>
    <row r="36" spans="1:7" ht="25" customHeight="1" x14ac:dyDescent="0.35">
      <c r="A36" s="49" t="s">
        <v>43</v>
      </c>
      <c r="B36" s="22" t="s">
        <v>81</v>
      </c>
      <c r="C36" s="22" t="s">
        <v>29</v>
      </c>
      <c r="D36" s="33"/>
      <c r="E36" s="33"/>
      <c r="F36" s="34"/>
      <c r="G36" s="1"/>
    </row>
    <row r="37" spans="1:7" ht="25" customHeight="1" x14ac:dyDescent="0.35">
      <c r="A37" s="49" t="s">
        <v>44</v>
      </c>
      <c r="B37" s="22" t="s">
        <v>28</v>
      </c>
      <c r="C37" s="22" t="s">
        <v>82</v>
      </c>
      <c r="D37" s="33"/>
      <c r="E37" s="33"/>
      <c r="F37" s="34"/>
      <c r="G37" s="1"/>
    </row>
    <row r="38" spans="1:7" ht="20.149999999999999" customHeight="1" x14ac:dyDescent="0.35">
      <c r="A38" s="6" t="s">
        <v>60</v>
      </c>
      <c r="B38" s="10" t="s">
        <v>83</v>
      </c>
      <c r="C38" s="10" t="s">
        <v>84</v>
      </c>
      <c r="D38" s="6"/>
      <c r="E38" s="6"/>
      <c r="F38" s="8"/>
      <c r="G38" s="1"/>
    </row>
    <row r="39" spans="1:7" ht="20.149999999999999" customHeight="1" x14ac:dyDescent="0.35">
      <c r="A39" s="6" t="s">
        <v>9</v>
      </c>
      <c r="B39" s="10" t="s">
        <v>85</v>
      </c>
      <c r="C39" s="10" t="s">
        <v>86</v>
      </c>
      <c r="D39" s="6"/>
      <c r="E39" s="6"/>
      <c r="F39" s="8"/>
      <c r="G39" s="1"/>
    </row>
    <row r="40" spans="1:7" ht="20.149999999999999" customHeight="1" x14ac:dyDescent="0.35">
      <c r="A40" s="6" t="s">
        <v>10</v>
      </c>
      <c r="B40" s="10" t="s">
        <v>20</v>
      </c>
      <c r="C40" s="10" t="s">
        <v>86</v>
      </c>
      <c r="D40" s="6"/>
      <c r="E40" s="6"/>
      <c r="F40" s="8"/>
      <c r="G40" s="1"/>
    </row>
    <row r="41" spans="1:7" ht="20.149999999999999" customHeight="1" x14ac:dyDescent="0.35">
      <c r="A41" s="6" t="s">
        <v>61</v>
      </c>
      <c r="B41" s="10" t="s">
        <v>87</v>
      </c>
      <c r="C41" s="10" t="s">
        <v>30</v>
      </c>
      <c r="D41" s="6"/>
      <c r="E41" s="6"/>
      <c r="F41" s="8"/>
      <c r="G41" s="1"/>
    </row>
    <row r="42" spans="1:7" ht="10" customHeight="1" x14ac:dyDescent="0.35">
      <c r="A42" s="310"/>
      <c r="B42" s="311"/>
      <c r="C42" s="311"/>
      <c r="D42" s="311"/>
      <c r="E42" s="311"/>
      <c r="F42" s="312"/>
      <c r="G42" s="1"/>
    </row>
    <row r="43" spans="1:7" ht="25" customHeight="1" x14ac:dyDescent="0.35">
      <c r="A43" s="40" t="s">
        <v>45</v>
      </c>
      <c r="B43" s="37"/>
      <c r="C43" s="37"/>
      <c r="D43" s="37"/>
      <c r="E43" s="37"/>
      <c r="F43" s="37"/>
    </row>
    <row r="44" spans="1:7" ht="25" customHeight="1" x14ac:dyDescent="0.35">
      <c r="A44" s="54" t="s">
        <v>88</v>
      </c>
      <c r="B44" s="28">
        <v>190</v>
      </c>
      <c r="C44" s="37"/>
      <c r="D44" s="37"/>
      <c r="E44" s="37"/>
      <c r="F44" s="37"/>
    </row>
    <row r="45" spans="1:7" ht="20.149999999999999" customHeight="1" x14ac:dyDescent="0.35">
      <c r="A45" s="29" t="s">
        <v>25</v>
      </c>
      <c r="B45">
        <v>155</v>
      </c>
      <c r="E45" s="5">
        <v>0.82</v>
      </c>
    </row>
    <row r="46" spans="1:7" ht="20.149999999999999" customHeight="1" x14ac:dyDescent="0.35">
      <c r="A46" s="29" t="s">
        <v>26</v>
      </c>
      <c r="B46">
        <v>35</v>
      </c>
      <c r="E46" s="5">
        <v>0.18</v>
      </c>
    </row>
    <row r="47" spans="1:7" ht="20.149999999999999" customHeight="1" x14ac:dyDescent="0.35">
      <c r="A47" s="18" t="s">
        <v>80</v>
      </c>
      <c r="B47" s="28"/>
      <c r="C47" s="18"/>
      <c r="D47" s="18"/>
      <c r="E47" s="18"/>
      <c r="F47" s="23"/>
    </row>
    <row r="48" spans="1:7" ht="20.149999999999999" customHeight="1" x14ac:dyDescent="0.35">
      <c r="A48" s="29" t="s">
        <v>25</v>
      </c>
      <c r="B48" s="28" t="s">
        <v>29</v>
      </c>
    </row>
    <row r="49" spans="1:7" ht="20.149999999999999" customHeight="1" x14ac:dyDescent="0.35">
      <c r="A49" s="29" t="s">
        <v>26</v>
      </c>
      <c r="B49" s="28" t="s">
        <v>21</v>
      </c>
    </row>
    <row r="50" spans="1:7" ht="10" customHeight="1" x14ac:dyDescent="0.35">
      <c r="A50" s="42"/>
      <c r="B50" s="43"/>
      <c r="C50" s="30"/>
      <c r="D50" s="30"/>
      <c r="E50" s="30"/>
      <c r="F50" s="31"/>
    </row>
    <row r="51" spans="1:7" x14ac:dyDescent="0.35">
      <c r="A51" s="40" t="s">
        <v>46</v>
      </c>
      <c r="B51" s="28"/>
    </row>
    <row r="52" spans="1:7" ht="20.149999999999999" customHeight="1" x14ac:dyDescent="0.35">
      <c r="A52" s="32" t="s">
        <v>34</v>
      </c>
    </row>
    <row r="53" spans="1:7" ht="20.149999999999999" customHeight="1" x14ac:dyDescent="0.35">
      <c r="A53" s="29" t="s">
        <v>25</v>
      </c>
      <c r="B53">
        <v>30</v>
      </c>
      <c r="E53" s="5">
        <v>0.81</v>
      </c>
    </row>
    <row r="54" spans="1:7" ht="20.149999999999999" customHeight="1" x14ac:dyDescent="0.35">
      <c r="A54" s="29" t="s">
        <v>26</v>
      </c>
      <c r="B54">
        <v>7</v>
      </c>
      <c r="E54" s="5">
        <v>0.19</v>
      </c>
    </row>
    <row r="55" spans="1:7" ht="20.149999999999999" customHeight="1" x14ac:dyDescent="0.35">
      <c r="A55" s="18" t="s">
        <v>35</v>
      </c>
      <c r="B55" s="18"/>
      <c r="C55" s="18"/>
      <c r="D55" s="18"/>
      <c r="E55" s="18"/>
      <c r="F55" s="23"/>
    </row>
    <row r="56" spans="1:7" ht="20.149999999999999" customHeight="1" x14ac:dyDescent="0.35">
      <c r="A56" s="29" t="s">
        <v>25</v>
      </c>
      <c r="B56" s="28" t="s">
        <v>27</v>
      </c>
      <c r="C56" s="18"/>
      <c r="D56" s="18"/>
      <c r="E56" s="18"/>
      <c r="F56" s="23"/>
    </row>
    <row r="57" spans="1:7" ht="20.149999999999999" customHeight="1" x14ac:dyDescent="0.35">
      <c r="A57" s="29" t="s">
        <v>26</v>
      </c>
      <c r="B57" s="28" t="s">
        <v>29</v>
      </c>
      <c r="C57" s="18"/>
      <c r="D57" s="18"/>
      <c r="E57" s="18"/>
      <c r="F57" s="23"/>
    </row>
    <row r="58" spans="1:7" ht="10" customHeight="1" x14ac:dyDescent="0.35">
      <c r="A58" s="30"/>
      <c r="B58" s="30"/>
      <c r="C58" s="30"/>
      <c r="D58" s="30"/>
      <c r="E58" s="30"/>
      <c r="F58" s="31"/>
    </row>
    <row r="59" spans="1:7" ht="25" customHeight="1" x14ac:dyDescent="0.35">
      <c r="A59" s="40" t="s">
        <v>40</v>
      </c>
      <c r="F59" s="47"/>
    </row>
    <row r="60" spans="1:7" ht="25" customHeight="1" x14ac:dyDescent="0.35">
      <c r="A60" s="18" t="s">
        <v>74</v>
      </c>
    </row>
    <row r="61" spans="1:7" s="29" customFormat="1" ht="20.149999999999999" customHeight="1" x14ac:dyDescent="0.3">
      <c r="A61" s="29" t="s">
        <v>37</v>
      </c>
      <c r="B61" s="28">
        <v>153</v>
      </c>
      <c r="C61" s="28"/>
      <c r="F61" s="41"/>
    </row>
    <row r="62" spans="1:7" s="29" customFormat="1" ht="20.149999999999999" customHeight="1" x14ac:dyDescent="0.3">
      <c r="A62" s="29" t="s">
        <v>38</v>
      </c>
      <c r="B62" s="28">
        <v>500</v>
      </c>
      <c r="C62" s="28"/>
      <c r="F62" s="41"/>
    </row>
    <row r="63" spans="1:7" ht="20.149999999999999" customHeight="1" x14ac:dyDescent="0.35">
      <c r="A63" s="9" t="s">
        <v>1</v>
      </c>
      <c r="B63" s="10">
        <v>73</v>
      </c>
      <c r="C63" s="6"/>
      <c r="D63" s="6"/>
      <c r="E63" s="6"/>
      <c r="F63" s="8"/>
      <c r="G63" s="1"/>
    </row>
    <row r="64" spans="1:7" ht="25" customHeight="1" x14ac:dyDescent="0.35">
      <c r="A64" s="313" t="s">
        <v>75</v>
      </c>
      <c r="B64" s="314"/>
      <c r="C64" s="314"/>
      <c r="D64" s="314"/>
      <c r="E64" s="314"/>
      <c r="F64" s="315"/>
      <c r="G64" s="1"/>
    </row>
    <row r="65" spans="1:7" ht="20.149999999999999" customHeight="1" x14ac:dyDescent="0.35">
      <c r="A65" s="58">
        <v>43614</v>
      </c>
      <c r="B65" s="11">
        <v>97</v>
      </c>
      <c r="C65" s="11"/>
      <c r="D65" s="11"/>
      <c r="E65" s="11"/>
      <c r="F65" s="44"/>
      <c r="G65" s="1"/>
    </row>
    <row r="66" spans="1:7" ht="20.149999999999999" customHeight="1" x14ac:dyDescent="0.35">
      <c r="A66" s="58">
        <v>43623</v>
      </c>
      <c r="B66" s="11">
        <v>46</v>
      </c>
      <c r="C66" s="11"/>
      <c r="D66" s="11"/>
      <c r="E66" s="11"/>
      <c r="F66" s="44"/>
      <c r="G66" s="1"/>
    </row>
    <row r="67" spans="1:7" ht="20.149999999999999" customHeight="1" x14ac:dyDescent="0.35">
      <c r="A67" s="58">
        <v>43629</v>
      </c>
      <c r="B67" s="11">
        <v>41</v>
      </c>
      <c r="C67" s="11"/>
      <c r="D67" s="11"/>
      <c r="E67" s="11"/>
      <c r="F67" s="44"/>
      <c r="G67" s="1"/>
    </row>
    <row r="68" spans="1:7" ht="20.149999999999999" customHeight="1" x14ac:dyDescent="0.35">
      <c r="A68" s="58">
        <v>43637</v>
      </c>
      <c r="B68" s="11">
        <v>52</v>
      </c>
      <c r="C68" s="11"/>
      <c r="D68" s="11"/>
      <c r="E68" s="11"/>
      <c r="F68" s="44"/>
      <c r="G68" s="1"/>
    </row>
    <row r="69" spans="1:7" ht="10" customHeight="1" x14ac:dyDescent="0.35">
      <c r="A69" s="13"/>
      <c r="B69" s="14"/>
      <c r="C69" s="14"/>
      <c r="D69" s="14"/>
      <c r="E69" s="14"/>
      <c r="F69" s="15"/>
      <c r="G69" s="1"/>
    </row>
    <row r="70" spans="1:7" ht="25" customHeight="1" x14ac:dyDescent="0.35">
      <c r="A70" s="38" t="s">
        <v>62</v>
      </c>
      <c r="B70" s="11"/>
      <c r="C70" s="11"/>
      <c r="D70" s="11"/>
      <c r="E70" s="11"/>
      <c r="F70" s="44"/>
      <c r="G70" s="1"/>
    </row>
    <row r="71" spans="1:7" ht="25" customHeight="1" x14ac:dyDescent="0.35">
      <c r="A71" s="316" t="s">
        <v>68</v>
      </c>
      <c r="B71" s="318" t="s">
        <v>3</v>
      </c>
      <c r="C71" s="318"/>
      <c r="E71" s="319" t="s">
        <v>4</v>
      </c>
      <c r="F71" s="320"/>
      <c r="G71" s="1"/>
    </row>
    <row r="72" spans="1:7" ht="14.25" customHeight="1" x14ac:dyDescent="0.35">
      <c r="A72" s="317"/>
      <c r="B72" s="52" t="s">
        <v>52</v>
      </c>
      <c r="C72" s="33" t="s">
        <v>51</v>
      </c>
      <c r="D72" s="57" t="s">
        <v>95</v>
      </c>
      <c r="E72" s="33" t="s">
        <v>52</v>
      </c>
      <c r="F72" s="33" t="s">
        <v>51</v>
      </c>
      <c r="G72" s="1"/>
    </row>
    <row r="73" spans="1:7" ht="20.149999999999999" customHeight="1" x14ac:dyDescent="0.35">
      <c r="A73" s="9" t="s">
        <v>11</v>
      </c>
      <c r="B73" s="6">
        <v>1145</v>
      </c>
      <c r="C73" s="24">
        <v>726</v>
      </c>
      <c r="D73" s="23">
        <f>C73/B73</f>
        <v>0.63406113537117903</v>
      </c>
      <c r="E73" s="6"/>
      <c r="F73" s="53"/>
      <c r="G73" s="1"/>
    </row>
    <row r="74" spans="1:7" ht="20.149999999999999" customHeight="1" x14ac:dyDescent="0.35">
      <c r="A74" s="9" t="s">
        <v>13</v>
      </c>
      <c r="B74" s="6">
        <v>11</v>
      </c>
      <c r="C74" s="24">
        <v>9</v>
      </c>
      <c r="E74" s="6"/>
      <c r="F74" s="6"/>
      <c r="G74" s="1"/>
    </row>
    <row r="75" spans="1:7" ht="20.149999999999999" customHeight="1" x14ac:dyDescent="0.35">
      <c r="A75" s="9" t="s">
        <v>14</v>
      </c>
      <c r="B75" s="6">
        <v>17</v>
      </c>
      <c r="C75" s="24">
        <v>16</v>
      </c>
      <c r="E75" s="6"/>
      <c r="F75" s="6"/>
      <c r="G75" s="1"/>
    </row>
    <row r="76" spans="1:7" ht="20.149999999999999" customHeight="1" x14ac:dyDescent="0.35">
      <c r="A76" s="9" t="s">
        <v>69</v>
      </c>
      <c r="B76" s="6">
        <v>11</v>
      </c>
      <c r="C76" s="24">
        <v>5</v>
      </c>
      <c r="E76" s="6"/>
      <c r="F76" s="6"/>
      <c r="G76" s="1"/>
    </row>
    <row r="77" spans="1:7" ht="20.149999999999999" customHeight="1" x14ac:dyDescent="0.35">
      <c r="A77" s="9" t="s">
        <v>63</v>
      </c>
      <c r="B77" s="6">
        <v>24</v>
      </c>
      <c r="C77" s="24">
        <v>19</v>
      </c>
      <c r="E77" s="6"/>
      <c r="F77" s="6"/>
      <c r="G77" s="1"/>
    </row>
    <row r="78" spans="1:7" ht="20.149999999999999" customHeight="1" x14ac:dyDescent="0.35">
      <c r="A78" s="9" t="s">
        <v>12</v>
      </c>
      <c r="B78" s="6">
        <v>9</v>
      </c>
      <c r="C78" s="24">
        <v>7</v>
      </c>
      <c r="E78" s="6"/>
      <c r="F78" s="6"/>
      <c r="G78" s="1"/>
    </row>
    <row r="79" spans="1:7" ht="20.149999999999999" customHeight="1" x14ac:dyDescent="0.35">
      <c r="A79" s="9" t="s">
        <v>15</v>
      </c>
      <c r="B79" s="17">
        <v>8</v>
      </c>
      <c r="C79" s="24">
        <v>8</v>
      </c>
      <c r="E79" s="18"/>
      <c r="F79" s="18"/>
    </row>
    <row r="80" spans="1:7" ht="20.149999999999999" customHeight="1" x14ac:dyDescent="0.35">
      <c r="A80" s="16" t="s">
        <v>64</v>
      </c>
      <c r="B80" s="17"/>
      <c r="C80" s="24"/>
      <c r="E80" s="18">
        <v>4</v>
      </c>
      <c r="F80" s="18">
        <v>4</v>
      </c>
    </row>
    <row r="81" spans="1:7" ht="20.149999999999999" customHeight="1" x14ac:dyDescent="0.35">
      <c r="A81" s="16" t="s">
        <v>65</v>
      </c>
      <c r="B81" s="6"/>
      <c r="C81" s="24"/>
      <c r="E81" s="6">
        <v>4</v>
      </c>
      <c r="F81" s="6">
        <v>2</v>
      </c>
      <c r="G81" s="1"/>
    </row>
    <row r="82" spans="1:7" ht="20.149999999999999" customHeight="1" x14ac:dyDescent="0.35">
      <c r="A82" s="16" t="s">
        <v>66</v>
      </c>
      <c r="B82" s="6"/>
      <c r="C82" s="24"/>
      <c r="E82" s="6">
        <v>2</v>
      </c>
      <c r="F82" s="6">
        <v>0</v>
      </c>
      <c r="G82" s="1"/>
    </row>
    <row r="83" spans="1:7" ht="20.149999999999999" customHeight="1" x14ac:dyDescent="0.35">
      <c r="A83" s="9" t="s">
        <v>67</v>
      </c>
      <c r="B83" s="24"/>
      <c r="C83" s="24"/>
      <c r="E83" s="6">
        <v>11</v>
      </c>
      <c r="F83" s="6">
        <v>2</v>
      </c>
      <c r="G83" s="1"/>
    </row>
    <row r="84" spans="1:7" ht="10" customHeight="1" x14ac:dyDescent="0.35">
      <c r="A84" s="13"/>
      <c r="B84" s="14"/>
      <c r="C84" s="14"/>
      <c r="D84" s="14"/>
      <c r="E84" s="14"/>
      <c r="F84" s="15"/>
      <c r="G84" s="1"/>
    </row>
    <row r="85" spans="1:7" ht="25" customHeight="1" x14ac:dyDescent="0.35">
      <c r="A85" s="46" t="s">
        <v>39</v>
      </c>
      <c r="B85" s="11"/>
      <c r="C85" s="11"/>
      <c r="D85" s="11"/>
      <c r="E85" s="11"/>
      <c r="F85" s="45"/>
      <c r="G85" s="1"/>
    </row>
    <row r="86" spans="1:7" ht="28.5" customHeight="1" x14ac:dyDescent="0.35">
      <c r="A86" s="6" t="s">
        <v>53</v>
      </c>
      <c r="B86" s="19" t="s">
        <v>19</v>
      </c>
      <c r="C86" s="20" t="s">
        <v>18</v>
      </c>
      <c r="D86" s="19" t="s">
        <v>77</v>
      </c>
      <c r="E86" s="19"/>
      <c r="F86" s="50"/>
      <c r="G86" s="1"/>
    </row>
    <row r="87" spans="1:7" ht="20.149999999999999" customHeight="1" x14ac:dyDescent="0.35">
      <c r="A87" s="21" t="s">
        <v>16</v>
      </c>
      <c r="B87" s="22" t="s">
        <v>90</v>
      </c>
      <c r="C87" s="22" t="s">
        <v>89</v>
      </c>
      <c r="D87" s="22" t="s">
        <v>23</v>
      </c>
      <c r="E87" s="22"/>
      <c r="F87" s="12"/>
      <c r="G87" s="1"/>
    </row>
    <row r="88" spans="1:7" ht="20.149999999999999" customHeight="1" x14ac:dyDescent="0.35">
      <c r="A88" s="21" t="s">
        <v>17</v>
      </c>
      <c r="B88" s="22" t="s">
        <v>91</v>
      </c>
      <c r="C88" s="22" t="s">
        <v>92</v>
      </c>
      <c r="D88" s="22" t="s">
        <v>23</v>
      </c>
      <c r="E88" s="22"/>
      <c r="F88" s="12"/>
      <c r="G88" s="1"/>
    </row>
    <row r="89" spans="1:7" ht="20.149999999999999" customHeight="1" x14ac:dyDescent="0.35">
      <c r="A89" s="21" t="s">
        <v>70</v>
      </c>
      <c r="B89" s="22" t="s">
        <v>76</v>
      </c>
      <c r="C89" s="22" t="s">
        <v>23</v>
      </c>
      <c r="D89" s="22" t="s">
        <v>78</v>
      </c>
      <c r="E89" s="22"/>
      <c r="F89" s="12"/>
      <c r="G89" s="1"/>
    </row>
    <row r="90" spans="1:7" ht="20.149999999999999" customHeight="1" x14ac:dyDescent="0.35">
      <c r="A90" s="21" t="s">
        <v>4</v>
      </c>
      <c r="B90" s="22" t="s">
        <v>89</v>
      </c>
      <c r="C90" s="22" t="s">
        <v>23</v>
      </c>
      <c r="D90" s="22" t="s">
        <v>23</v>
      </c>
      <c r="E90" s="22"/>
      <c r="F90" s="12"/>
      <c r="G90" s="1"/>
    </row>
  </sheetData>
  <mergeCells count="12">
    <mergeCell ref="A71:A72"/>
    <mergeCell ref="B71:C71"/>
    <mergeCell ref="A1:F1"/>
    <mergeCell ref="A34:F34"/>
    <mergeCell ref="A42:F42"/>
    <mergeCell ref="A64:F64"/>
    <mergeCell ref="B16:F16"/>
    <mergeCell ref="B23:F23"/>
    <mergeCell ref="A21:F21"/>
    <mergeCell ref="A29:F29"/>
    <mergeCell ref="B30:F30"/>
    <mergeCell ref="E71:F71"/>
  </mergeCells>
  <printOptions horizontalCentered="1" gridLines="1"/>
  <pageMargins left="0.25" right="0.25" top="0.75" bottom="0.75" header="0.3" footer="0.3"/>
  <pageSetup scale="76" fitToWidth="2" fitToHeight="2" orientation="portrait" r:id="rId1"/>
  <rowBreaks count="2" manualBreakCount="2">
    <brk id="42" max="16383" man="1"/>
    <brk id="69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BA2FC-E601-4546-8BD4-48A0AEB908DB}">
  <sheetPr>
    <tabColor theme="9" tint="0.39997558519241921"/>
  </sheetPr>
  <dimension ref="A1:F85"/>
  <sheetViews>
    <sheetView topLeftCell="A73" workbookViewId="0">
      <selection activeCell="G44" sqref="G44"/>
    </sheetView>
  </sheetViews>
  <sheetFormatPr defaultRowHeight="14.5" x14ac:dyDescent="0.35"/>
  <cols>
    <col min="1" max="1" width="47.1796875" customWidth="1"/>
    <col min="2" max="4" width="9.81640625" customWidth="1"/>
    <col min="5" max="5" width="12" style="5" customWidth="1"/>
  </cols>
  <sheetData>
    <row r="1" spans="1:6" ht="31.5" customHeight="1" x14ac:dyDescent="0.35">
      <c r="A1" s="328" t="s">
        <v>99</v>
      </c>
      <c r="B1" s="328"/>
      <c r="C1" s="328"/>
      <c r="D1" s="328"/>
      <c r="E1" s="328"/>
    </row>
    <row r="2" spans="1:6" ht="32.25" customHeight="1" x14ac:dyDescent="0.35">
      <c r="A2" s="2"/>
      <c r="B2" s="3" t="s">
        <v>3</v>
      </c>
      <c r="C2" s="3" t="s">
        <v>4</v>
      </c>
      <c r="D2" s="3" t="s">
        <v>0</v>
      </c>
      <c r="E2" s="4" t="s">
        <v>100</v>
      </c>
    </row>
    <row r="3" spans="1:6" ht="32.25" customHeight="1" x14ac:dyDescent="0.35">
      <c r="A3" s="39" t="s">
        <v>32</v>
      </c>
      <c r="B3" s="35"/>
      <c r="C3" s="35"/>
      <c r="D3" s="35"/>
      <c r="E3" s="64"/>
    </row>
    <row r="4" spans="1:6" ht="20.149999999999999" customHeight="1" x14ac:dyDescent="0.35">
      <c r="A4" s="6" t="s">
        <v>41</v>
      </c>
      <c r="B4" s="6">
        <v>1114</v>
      </c>
      <c r="C4" s="6">
        <v>7</v>
      </c>
      <c r="D4" s="6">
        <f>B4+C4</f>
        <v>1121</v>
      </c>
      <c r="E4" s="7" t="s">
        <v>23</v>
      </c>
      <c r="F4" s="1"/>
    </row>
    <row r="5" spans="1:6" ht="20.149999999999999" customHeight="1" x14ac:dyDescent="0.35">
      <c r="A5" s="6" t="s">
        <v>101</v>
      </c>
      <c r="B5" s="6">
        <v>694</v>
      </c>
      <c r="C5" s="6">
        <v>7</v>
      </c>
      <c r="D5" s="6">
        <f>B5+C5</f>
        <v>701</v>
      </c>
      <c r="E5" s="8">
        <f>D5/D4</f>
        <v>0.62533452274754686</v>
      </c>
      <c r="F5" s="1"/>
    </row>
    <row r="6" spans="1:6" ht="20.149999999999999" customHeight="1" x14ac:dyDescent="0.35">
      <c r="A6" s="6" t="s">
        <v>102</v>
      </c>
      <c r="B6" s="6">
        <v>420</v>
      </c>
      <c r="C6" s="6">
        <v>0</v>
      </c>
      <c r="D6" s="6">
        <f>B6+C6</f>
        <v>420</v>
      </c>
      <c r="E6" s="8">
        <f>D6/D4</f>
        <v>0.37466547725245319</v>
      </c>
      <c r="F6" s="1"/>
    </row>
    <row r="7" spans="1:6" ht="20.149999999999999" customHeight="1" x14ac:dyDescent="0.35">
      <c r="A7" s="6" t="s">
        <v>5</v>
      </c>
      <c r="B7" s="6">
        <v>549</v>
      </c>
      <c r="C7" s="6">
        <v>0</v>
      </c>
      <c r="D7" s="6">
        <v>549</v>
      </c>
      <c r="E7" s="8">
        <f>D7/D4</f>
        <v>0.48974130240856378</v>
      </c>
      <c r="F7" s="1"/>
    </row>
    <row r="8" spans="1:6" ht="20.149999999999999" customHeight="1" x14ac:dyDescent="0.35">
      <c r="A8" s="6" t="s">
        <v>42</v>
      </c>
      <c r="B8" s="6">
        <v>528</v>
      </c>
      <c r="C8" s="6">
        <v>7</v>
      </c>
      <c r="D8" s="6">
        <f>B8+C8</f>
        <v>535</v>
      </c>
      <c r="E8" s="8">
        <f>D8/D4</f>
        <v>0.47725245316681536</v>
      </c>
      <c r="F8" s="1"/>
    </row>
    <row r="9" spans="1:6" ht="20.149999999999999" customHeight="1" x14ac:dyDescent="0.35">
      <c r="A9" s="6" t="s">
        <v>2</v>
      </c>
      <c r="B9" s="6">
        <v>33</v>
      </c>
      <c r="C9" s="6">
        <v>0</v>
      </c>
      <c r="D9" s="6">
        <v>33</v>
      </c>
      <c r="E9" s="8">
        <f>D9/D4</f>
        <v>2.9438001784121322E-2</v>
      </c>
      <c r="F9" s="1"/>
    </row>
    <row r="10" spans="1:6" ht="20.149999999999999" customHeight="1" x14ac:dyDescent="0.35">
      <c r="A10" s="6" t="s">
        <v>24</v>
      </c>
      <c r="B10" s="6">
        <v>136</v>
      </c>
      <c r="C10" s="6">
        <v>2</v>
      </c>
      <c r="D10" s="6">
        <f>B10+C10</f>
        <v>138</v>
      </c>
      <c r="E10" s="8">
        <f>D10/D4</f>
        <v>0.12310437109723461</v>
      </c>
      <c r="F10" s="1"/>
    </row>
    <row r="11" spans="1:6" ht="20.149999999999999" customHeight="1" x14ac:dyDescent="0.35">
      <c r="A11" s="17" t="s">
        <v>49</v>
      </c>
      <c r="B11" s="17">
        <v>496</v>
      </c>
      <c r="C11" s="18"/>
      <c r="D11" s="18"/>
      <c r="E11" s="23">
        <v>0.45</v>
      </c>
      <c r="F11" s="1"/>
    </row>
    <row r="12" spans="1:6" ht="20.149999999999999" customHeight="1" x14ac:dyDescent="0.35">
      <c r="A12" s="17" t="s">
        <v>50</v>
      </c>
      <c r="B12" s="17">
        <v>54</v>
      </c>
      <c r="E12" s="5">
        <v>0.11</v>
      </c>
      <c r="F12" s="1"/>
    </row>
    <row r="13" spans="1:6" ht="10" customHeight="1" x14ac:dyDescent="0.35">
      <c r="A13" s="13"/>
      <c r="B13" s="14"/>
      <c r="C13" s="14"/>
      <c r="D13" s="14"/>
      <c r="E13" s="15"/>
      <c r="F13" s="1"/>
    </row>
    <row r="14" spans="1:6" ht="25" customHeight="1" x14ac:dyDescent="0.35">
      <c r="A14" s="38" t="s">
        <v>31</v>
      </c>
      <c r="B14" s="33"/>
      <c r="C14" s="33"/>
      <c r="D14" s="33"/>
      <c r="E14" s="34"/>
      <c r="F14" s="1"/>
    </row>
    <row r="15" spans="1:6" ht="20.149999999999999" customHeight="1" x14ac:dyDescent="0.35">
      <c r="A15" s="329" t="s">
        <v>33</v>
      </c>
      <c r="B15" s="329"/>
      <c r="C15" s="329"/>
      <c r="D15" s="329"/>
      <c r="E15" s="329"/>
      <c r="F15" s="1"/>
    </row>
    <row r="16" spans="1:6" ht="20.149999999999999" customHeight="1" x14ac:dyDescent="0.35">
      <c r="A16" s="9" t="s">
        <v>7</v>
      </c>
      <c r="B16" s="6">
        <v>114</v>
      </c>
      <c r="C16" s="6">
        <v>0</v>
      </c>
      <c r="D16" s="6">
        <v>116</v>
      </c>
      <c r="E16" s="8">
        <f>D16/D4</f>
        <v>0.10347903657448707</v>
      </c>
      <c r="F16" s="1"/>
    </row>
    <row r="17" spans="1:6" ht="20.149999999999999" customHeight="1" x14ac:dyDescent="0.35">
      <c r="A17" s="9" t="s">
        <v>6</v>
      </c>
      <c r="B17" s="6">
        <v>111</v>
      </c>
      <c r="C17" s="6">
        <v>2</v>
      </c>
      <c r="D17" s="6">
        <f>B17+C17</f>
        <v>113</v>
      </c>
      <c r="E17" s="8">
        <f>D17/D4</f>
        <v>0.1008028545941124</v>
      </c>
      <c r="F17" s="1"/>
    </row>
    <row r="18" spans="1:6" ht="20.149999999999999" customHeight="1" x14ac:dyDescent="0.35">
      <c r="A18" s="9" t="s">
        <v>8</v>
      </c>
      <c r="B18" s="6">
        <v>87</v>
      </c>
      <c r="C18" s="6">
        <v>0</v>
      </c>
      <c r="D18" s="6">
        <v>84</v>
      </c>
      <c r="E18" s="8">
        <f>D18/D4</f>
        <v>7.4933095450490636E-2</v>
      </c>
      <c r="F18" s="1"/>
    </row>
    <row r="19" spans="1:6" ht="20.149999999999999" customHeight="1" x14ac:dyDescent="0.35">
      <c r="A19" s="9" t="s">
        <v>47</v>
      </c>
      <c r="B19" s="6">
        <v>72</v>
      </c>
      <c r="C19" s="6">
        <v>0</v>
      </c>
      <c r="D19" s="6">
        <v>76</v>
      </c>
      <c r="E19" s="8">
        <f>D19/D4</f>
        <v>6.7796610169491525E-2</v>
      </c>
      <c r="F19" s="1"/>
    </row>
    <row r="20" spans="1:6" ht="25" customHeight="1" x14ac:dyDescent="0.35">
      <c r="A20" s="329" t="s">
        <v>22</v>
      </c>
      <c r="B20" s="329"/>
      <c r="C20" s="329"/>
      <c r="D20" s="329"/>
      <c r="E20" s="329"/>
      <c r="F20" s="1"/>
    </row>
    <row r="21" spans="1:6" ht="20.149999999999999" customHeight="1" x14ac:dyDescent="0.35">
      <c r="A21" s="9" t="s">
        <v>103</v>
      </c>
      <c r="B21" s="6">
        <v>47</v>
      </c>
      <c r="C21" s="6">
        <v>0</v>
      </c>
      <c r="D21" s="6">
        <v>47</v>
      </c>
      <c r="E21" s="8">
        <f>D21/D4</f>
        <v>4.1926851025869759E-2</v>
      </c>
      <c r="F21" s="1"/>
    </row>
    <row r="22" spans="1:6" ht="20.149999999999999" customHeight="1" x14ac:dyDescent="0.35">
      <c r="A22" s="9" t="s">
        <v>104</v>
      </c>
      <c r="B22" s="6">
        <v>42</v>
      </c>
      <c r="C22" s="6">
        <v>0</v>
      </c>
      <c r="D22" s="6">
        <v>42</v>
      </c>
      <c r="E22" s="8">
        <f>D22/D4</f>
        <v>3.7466547725245318E-2</v>
      </c>
      <c r="F22" s="1"/>
    </row>
    <row r="23" spans="1:6" ht="20.149999999999999" customHeight="1" x14ac:dyDescent="0.35">
      <c r="A23" s="9" t="s">
        <v>105</v>
      </c>
      <c r="B23" s="6">
        <v>28</v>
      </c>
      <c r="C23" s="6">
        <v>0</v>
      </c>
      <c r="D23" s="6">
        <v>28</v>
      </c>
      <c r="E23" s="8">
        <f>D23/D4</f>
        <v>2.4977698483496878E-2</v>
      </c>
      <c r="F23" s="1"/>
    </row>
    <row r="24" spans="1:6" ht="20.149999999999999" customHeight="1" x14ac:dyDescent="0.35">
      <c r="A24" s="9" t="s">
        <v>106</v>
      </c>
      <c r="B24" s="6">
        <v>24</v>
      </c>
      <c r="C24" s="6">
        <v>0</v>
      </c>
      <c r="D24" s="6">
        <v>24</v>
      </c>
      <c r="E24" s="8">
        <f>D24/D4</f>
        <v>2.1409455842997322E-2</v>
      </c>
      <c r="F24" s="1"/>
    </row>
    <row r="25" spans="1:6" ht="20.149999999999999" customHeight="1" x14ac:dyDescent="0.35">
      <c r="A25" s="21" t="s">
        <v>48</v>
      </c>
      <c r="B25" s="11">
        <v>24</v>
      </c>
      <c r="C25" s="11">
        <v>0</v>
      </c>
      <c r="D25" s="11">
        <v>24</v>
      </c>
      <c r="E25" s="12">
        <v>0.02</v>
      </c>
      <c r="F25" s="1"/>
    </row>
    <row r="26" spans="1:6" ht="20.149999999999999" customHeight="1" x14ac:dyDescent="0.35">
      <c r="A26" s="21"/>
      <c r="B26" s="11"/>
      <c r="C26" s="11"/>
      <c r="D26" s="11"/>
      <c r="E26" s="12"/>
      <c r="F26" s="1"/>
    </row>
    <row r="27" spans="1:6" ht="25" customHeight="1" x14ac:dyDescent="0.35">
      <c r="A27" s="25" t="s">
        <v>36</v>
      </c>
      <c r="B27" s="26"/>
      <c r="C27" s="26"/>
      <c r="D27" s="26"/>
      <c r="E27" s="27"/>
      <c r="F27" s="1"/>
    </row>
    <row r="28" spans="1:6" ht="20.149999999999999" customHeight="1" x14ac:dyDescent="0.35">
      <c r="A28" s="21" t="s">
        <v>107</v>
      </c>
      <c r="B28" s="11">
        <v>1</v>
      </c>
      <c r="C28" s="11"/>
      <c r="D28" s="26"/>
      <c r="E28" s="27"/>
      <c r="F28" s="1"/>
    </row>
    <row r="29" spans="1:6" ht="20.149999999999999" customHeight="1" x14ac:dyDescent="0.35">
      <c r="A29" s="48" t="s">
        <v>108</v>
      </c>
      <c r="B29" s="18">
        <v>1</v>
      </c>
      <c r="C29" s="11"/>
      <c r="D29" s="26"/>
      <c r="E29" s="27"/>
      <c r="F29" s="1"/>
    </row>
    <row r="30" spans="1:6" ht="20.149999999999999" customHeight="1" x14ac:dyDescent="0.35">
      <c r="A30" s="21" t="s">
        <v>109</v>
      </c>
      <c r="B30" s="11">
        <v>1</v>
      </c>
      <c r="C30" s="11"/>
      <c r="D30" s="26"/>
      <c r="E30" s="27"/>
      <c r="F30" s="1"/>
    </row>
    <row r="31" spans="1:6" ht="10" customHeight="1" x14ac:dyDescent="0.35">
      <c r="A31" s="310"/>
      <c r="B31" s="311"/>
      <c r="C31" s="311"/>
      <c r="D31" s="311"/>
      <c r="E31" s="312"/>
      <c r="F31" s="1"/>
    </row>
    <row r="32" spans="1:6" ht="25" customHeight="1" x14ac:dyDescent="0.35">
      <c r="A32" s="38" t="s">
        <v>110</v>
      </c>
      <c r="B32" s="33"/>
      <c r="C32" s="33"/>
      <c r="D32" s="33"/>
      <c r="E32" s="34"/>
      <c r="F32" s="1"/>
    </row>
    <row r="33" spans="1:6" ht="25" customHeight="1" x14ac:dyDescent="0.35">
      <c r="A33" s="49" t="s">
        <v>43</v>
      </c>
      <c r="B33" s="22" t="s">
        <v>27</v>
      </c>
      <c r="C33" s="33"/>
      <c r="D33" s="33"/>
      <c r="E33" s="34"/>
      <c r="F33" s="1"/>
    </row>
    <row r="34" spans="1:6" ht="25" customHeight="1" x14ac:dyDescent="0.35">
      <c r="A34" s="49" t="s">
        <v>44</v>
      </c>
      <c r="B34" s="22" t="s">
        <v>111</v>
      </c>
      <c r="C34" s="33"/>
      <c r="D34" s="33"/>
      <c r="E34" s="34"/>
      <c r="F34" s="1"/>
    </row>
    <row r="35" spans="1:6" ht="20.149999999999999" customHeight="1" x14ac:dyDescent="0.35">
      <c r="A35" s="6" t="s">
        <v>112</v>
      </c>
      <c r="B35" s="10" t="s">
        <v>113</v>
      </c>
      <c r="C35" s="10" t="s">
        <v>114</v>
      </c>
      <c r="D35" s="6"/>
      <c r="E35" s="8"/>
      <c r="F35" s="1"/>
    </row>
    <row r="36" spans="1:6" ht="20.149999999999999" customHeight="1" x14ac:dyDescent="0.35">
      <c r="A36" s="6" t="s">
        <v>9</v>
      </c>
      <c r="B36" s="10" t="s">
        <v>115</v>
      </c>
      <c r="C36" s="10" t="s">
        <v>21</v>
      </c>
      <c r="D36" s="6"/>
      <c r="E36" s="8"/>
      <c r="F36" s="1"/>
    </row>
    <row r="37" spans="1:6" ht="20.149999999999999" customHeight="1" x14ac:dyDescent="0.35">
      <c r="A37" s="6" t="s">
        <v>10</v>
      </c>
      <c r="B37" s="10" t="s">
        <v>20</v>
      </c>
      <c r="C37" s="10" t="s">
        <v>116</v>
      </c>
      <c r="D37" s="6"/>
      <c r="E37" s="8"/>
      <c r="F37" s="1"/>
    </row>
    <row r="38" spans="1:6" ht="20.149999999999999" customHeight="1" x14ac:dyDescent="0.35">
      <c r="A38" s="6" t="s">
        <v>117</v>
      </c>
      <c r="B38" s="10" t="s">
        <v>118</v>
      </c>
      <c r="C38" s="10" t="s">
        <v>119</v>
      </c>
      <c r="D38" s="6"/>
      <c r="E38" s="8"/>
      <c r="F38" s="1"/>
    </row>
    <row r="39" spans="1:6" ht="10" customHeight="1" x14ac:dyDescent="0.35">
      <c r="A39" s="310"/>
      <c r="B39" s="311"/>
      <c r="C39" s="311"/>
      <c r="D39" s="311"/>
      <c r="E39" s="312"/>
      <c r="F39" s="1"/>
    </row>
    <row r="40" spans="1:6" ht="25" customHeight="1" x14ac:dyDescent="0.35">
      <c r="A40" s="40" t="s">
        <v>45</v>
      </c>
      <c r="B40" s="37"/>
      <c r="C40" s="37"/>
      <c r="D40" s="37"/>
      <c r="E40" s="37"/>
    </row>
    <row r="41" spans="1:6" ht="20.149999999999999" customHeight="1" x14ac:dyDescent="0.35">
      <c r="A41" s="32" t="s">
        <v>120</v>
      </c>
      <c r="B41">
        <v>164</v>
      </c>
    </row>
    <row r="42" spans="1:6" ht="20.149999999999999" customHeight="1" x14ac:dyDescent="0.35">
      <c r="A42" s="29" t="s">
        <v>25</v>
      </c>
      <c r="B42">
        <v>130</v>
      </c>
      <c r="E42" s="5">
        <v>0.79</v>
      </c>
    </row>
    <row r="43" spans="1:6" ht="20.149999999999999" customHeight="1" x14ac:dyDescent="0.35">
      <c r="A43" s="29" t="s">
        <v>26</v>
      </c>
      <c r="B43">
        <v>34</v>
      </c>
      <c r="E43" s="5">
        <v>0.21</v>
      </c>
    </row>
    <row r="44" spans="1:6" ht="20.149999999999999" customHeight="1" x14ac:dyDescent="0.35">
      <c r="A44" s="18" t="s">
        <v>121</v>
      </c>
      <c r="B44" s="28"/>
      <c r="C44" s="18"/>
      <c r="D44" s="18"/>
      <c r="E44" s="23"/>
    </row>
    <row r="45" spans="1:6" ht="20.149999999999999" customHeight="1" x14ac:dyDescent="0.35">
      <c r="A45" s="29" t="s">
        <v>25</v>
      </c>
      <c r="B45" s="28" t="s">
        <v>29</v>
      </c>
    </row>
    <row r="46" spans="1:6" ht="20.149999999999999" customHeight="1" x14ac:dyDescent="0.35">
      <c r="A46" s="29" t="s">
        <v>26</v>
      </c>
      <c r="B46" s="28" t="s">
        <v>30</v>
      </c>
    </row>
    <row r="47" spans="1:6" ht="10" customHeight="1" x14ac:dyDescent="0.35">
      <c r="A47" s="42"/>
      <c r="B47" s="43"/>
      <c r="C47" s="30"/>
      <c r="D47" s="30"/>
      <c r="E47" s="31"/>
    </row>
    <row r="48" spans="1:6" x14ac:dyDescent="0.35">
      <c r="A48" s="40" t="s">
        <v>46</v>
      </c>
      <c r="B48" s="28"/>
    </row>
    <row r="49" spans="1:6" ht="20.149999999999999" customHeight="1" x14ac:dyDescent="0.35">
      <c r="A49" s="32" t="s">
        <v>34</v>
      </c>
    </row>
    <row r="50" spans="1:6" ht="20.149999999999999" customHeight="1" x14ac:dyDescent="0.35">
      <c r="A50" s="29" t="s">
        <v>25</v>
      </c>
      <c r="B50">
        <v>29</v>
      </c>
      <c r="E50" s="5">
        <v>0.88</v>
      </c>
    </row>
    <row r="51" spans="1:6" ht="20.149999999999999" customHeight="1" x14ac:dyDescent="0.35">
      <c r="A51" s="29" t="s">
        <v>26</v>
      </c>
      <c r="B51">
        <v>4</v>
      </c>
      <c r="E51" s="5">
        <v>0.12</v>
      </c>
    </row>
    <row r="52" spans="1:6" ht="20.149999999999999" customHeight="1" x14ac:dyDescent="0.35">
      <c r="A52" s="18" t="s">
        <v>35</v>
      </c>
      <c r="B52" s="18"/>
      <c r="C52" s="18"/>
      <c r="D52" s="18"/>
      <c r="E52" s="23"/>
    </row>
    <row r="53" spans="1:6" ht="20.149999999999999" customHeight="1" x14ac:dyDescent="0.35">
      <c r="A53" s="29" t="s">
        <v>25</v>
      </c>
      <c r="B53" s="28" t="s">
        <v>27</v>
      </c>
      <c r="C53" s="18"/>
      <c r="D53" s="18"/>
      <c r="E53" s="23"/>
    </row>
    <row r="54" spans="1:6" ht="20.149999999999999" customHeight="1" x14ac:dyDescent="0.35">
      <c r="A54" s="29" t="s">
        <v>26</v>
      </c>
      <c r="B54" s="28" t="s">
        <v>28</v>
      </c>
      <c r="C54" s="18"/>
      <c r="D54" s="18"/>
      <c r="E54" s="23"/>
    </row>
    <row r="55" spans="1:6" ht="10" customHeight="1" x14ac:dyDescent="0.35">
      <c r="A55" s="30"/>
      <c r="B55" s="30"/>
      <c r="C55" s="30"/>
      <c r="D55" s="30"/>
      <c r="E55" s="31"/>
    </row>
    <row r="56" spans="1:6" ht="25" customHeight="1" x14ac:dyDescent="0.35">
      <c r="A56" s="40" t="s">
        <v>40</v>
      </c>
    </row>
    <row r="57" spans="1:6" ht="25" customHeight="1" x14ac:dyDescent="0.35">
      <c r="A57" s="18" t="s">
        <v>122</v>
      </c>
    </row>
    <row r="58" spans="1:6" s="29" customFormat="1" ht="20.149999999999999" customHeight="1" x14ac:dyDescent="0.3">
      <c r="A58" s="29" t="s">
        <v>123</v>
      </c>
      <c r="B58" s="28">
        <v>2</v>
      </c>
      <c r="C58" s="28">
        <v>0</v>
      </c>
      <c r="E58" s="41"/>
    </row>
    <row r="59" spans="1:6" s="29" customFormat="1" ht="20.149999999999999" customHeight="1" x14ac:dyDescent="0.3">
      <c r="A59" s="29" t="s">
        <v>37</v>
      </c>
      <c r="B59" s="28">
        <v>106</v>
      </c>
      <c r="C59" s="28">
        <v>0</v>
      </c>
      <c r="E59" s="41"/>
    </row>
    <row r="60" spans="1:6" s="29" customFormat="1" ht="20.149999999999999" customHeight="1" x14ac:dyDescent="0.3">
      <c r="A60" s="29" t="s">
        <v>38</v>
      </c>
      <c r="B60" s="28">
        <v>353</v>
      </c>
      <c r="C60" s="28">
        <v>0</v>
      </c>
      <c r="E60" s="41"/>
    </row>
    <row r="61" spans="1:6" ht="20.149999999999999" customHeight="1" x14ac:dyDescent="0.35">
      <c r="A61" s="9" t="s">
        <v>1</v>
      </c>
      <c r="B61" s="10">
        <v>33</v>
      </c>
      <c r="C61" s="6">
        <v>0</v>
      </c>
      <c r="D61" s="6"/>
      <c r="E61" s="8"/>
      <c r="F61" s="1"/>
    </row>
    <row r="62" spans="1:6" ht="25" customHeight="1" x14ac:dyDescent="0.35">
      <c r="A62" s="313" t="s">
        <v>124</v>
      </c>
      <c r="B62" s="314"/>
      <c r="C62" s="314"/>
      <c r="D62" s="314"/>
      <c r="E62" s="315"/>
      <c r="F62" s="1"/>
    </row>
    <row r="63" spans="1:6" ht="20.149999999999999" customHeight="1" x14ac:dyDescent="0.35">
      <c r="A63" s="58">
        <v>43248</v>
      </c>
      <c r="B63" s="11">
        <v>47</v>
      </c>
      <c r="C63" s="11">
        <v>0</v>
      </c>
      <c r="D63" s="11"/>
      <c r="E63" s="12"/>
      <c r="F63" s="1"/>
    </row>
    <row r="64" spans="1:6" ht="20.149999999999999" customHeight="1" x14ac:dyDescent="0.35">
      <c r="A64" s="58">
        <v>43255</v>
      </c>
      <c r="B64" s="11">
        <v>37</v>
      </c>
      <c r="C64" s="11">
        <v>0</v>
      </c>
      <c r="D64" s="11"/>
      <c r="E64" s="12"/>
      <c r="F64" s="1"/>
    </row>
    <row r="65" spans="1:6" ht="20.149999999999999" customHeight="1" x14ac:dyDescent="0.35">
      <c r="A65" s="58">
        <v>43259</v>
      </c>
      <c r="B65" s="11">
        <v>67</v>
      </c>
      <c r="C65" s="11">
        <v>0</v>
      </c>
      <c r="D65" s="11"/>
      <c r="E65" s="12"/>
      <c r="F65" s="1"/>
    </row>
    <row r="66" spans="1:6" ht="20.149999999999999" customHeight="1" x14ac:dyDescent="0.35">
      <c r="A66" s="58">
        <v>43274</v>
      </c>
      <c r="B66" s="11">
        <v>40</v>
      </c>
      <c r="C66" s="11">
        <v>0</v>
      </c>
      <c r="D66" s="11"/>
      <c r="E66" s="12"/>
      <c r="F66" s="1"/>
    </row>
    <row r="67" spans="1:6" ht="10" customHeight="1" x14ac:dyDescent="0.35">
      <c r="A67" s="13"/>
      <c r="B67" s="14"/>
      <c r="C67" s="14"/>
      <c r="D67" s="14"/>
      <c r="E67" s="15"/>
      <c r="F67" s="1"/>
    </row>
    <row r="68" spans="1:6" ht="25" customHeight="1" x14ac:dyDescent="0.35">
      <c r="A68" s="38" t="s">
        <v>125</v>
      </c>
      <c r="B68" s="11"/>
      <c r="C68" s="11"/>
      <c r="D68" s="11"/>
      <c r="E68" s="12"/>
      <c r="F68" s="1"/>
    </row>
    <row r="69" spans="1:6" ht="25" customHeight="1" x14ac:dyDescent="0.35">
      <c r="A69" s="316" t="s">
        <v>126</v>
      </c>
      <c r="B69" s="318" t="s">
        <v>3</v>
      </c>
      <c r="C69" s="318"/>
      <c r="D69" s="33" t="s">
        <v>4</v>
      </c>
      <c r="E69" s="65"/>
      <c r="F69" s="1"/>
    </row>
    <row r="70" spans="1:6" ht="14.25" customHeight="1" x14ac:dyDescent="0.35">
      <c r="A70" s="317"/>
      <c r="B70" s="52" t="s">
        <v>52</v>
      </c>
      <c r="C70" s="33" t="s">
        <v>51</v>
      </c>
      <c r="D70" s="33" t="s">
        <v>52</v>
      </c>
      <c r="E70" s="65"/>
      <c r="F70" s="1"/>
    </row>
    <row r="71" spans="1:6" ht="20.149999999999999" customHeight="1" x14ac:dyDescent="0.35">
      <c r="A71" s="9" t="s">
        <v>11</v>
      </c>
      <c r="B71" s="6">
        <v>1060</v>
      </c>
      <c r="C71" s="24">
        <v>463</v>
      </c>
      <c r="D71" s="6"/>
      <c r="E71" s="53">
        <v>0.44</v>
      </c>
      <c r="F71" s="1"/>
    </row>
    <row r="72" spans="1:6" ht="20.149999999999999" customHeight="1" x14ac:dyDescent="0.35">
      <c r="A72" s="9" t="s">
        <v>13</v>
      </c>
      <c r="B72" s="6">
        <v>17</v>
      </c>
      <c r="C72" s="24">
        <v>7</v>
      </c>
      <c r="D72" s="6"/>
      <c r="E72" s="53">
        <v>0.04</v>
      </c>
      <c r="F72" s="1"/>
    </row>
    <row r="73" spans="1:6" ht="20.149999999999999" customHeight="1" x14ac:dyDescent="0.35">
      <c r="A73" s="9" t="s">
        <v>14</v>
      </c>
      <c r="B73" s="6">
        <v>16</v>
      </c>
      <c r="C73" s="24">
        <v>13</v>
      </c>
      <c r="D73" s="6"/>
      <c r="E73" s="53">
        <v>0.81</v>
      </c>
      <c r="F73" s="1"/>
    </row>
    <row r="74" spans="1:6" ht="20.149999999999999" customHeight="1" x14ac:dyDescent="0.35">
      <c r="A74" s="9" t="s">
        <v>127</v>
      </c>
      <c r="B74" s="6">
        <v>9</v>
      </c>
      <c r="C74" s="24">
        <v>7</v>
      </c>
      <c r="D74" s="6"/>
      <c r="E74" s="53">
        <v>0.78</v>
      </c>
      <c r="F74" s="1"/>
    </row>
    <row r="75" spans="1:6" ht="20.149999999999999" customHeight="1" x14ac:dyDescent="0.35">
      <c r="A75" s="9" t="s">
        <v>12</v>
      </c>
      <c r="B75" s="6">
        <v>6</v>
      </c>
      <c r="C75" s="24">
        <v>0</v>
      </c>
      <c r="D75" s="6"/>
      <c r="E75" s="53">
        <v>0</v>
      </c>
      <c r="F75" s="1"/>
    </row>
    <row r="76" spans="1:6" ht="20.149999999999999" customHeight="1" x14ac:dyDescent="0.35">
      <c r="A76" s="9" t="s">
        <v>128</v>
      </c>
      <c r="B76" s="6">
        <v>2</v>
      </c>
      <c r="C76" s="24">
        <v>2</v>
      </c>
      <c r="D76" s="6"/>
      <c r="E76" s="53">
        <v>1</v>
      </c>
      <c r="F76" s="1"/>
    </row>
    <row r="77" spans="1:6" ht="20.149999999999999" customHeight="1" x14ac:dyDescent="0.35">
      <c r="A77" s="16" t="s">
        <v>129</v>
      </c>
      <c r="B77" s="17">
        <v>2</v>
      </c>
      <c r="C77" s="24">
        <v>2</v>
      </c>
      <c r="D77" s="18"/>
      <c r="E77" s="53">
        <v>1</v>
      </c>
    </row>
    <row r="78" spans="1:6" ht="20.149999999999999" customHeight="1" x14ac:dyDescent="0.35">
      <c r="A78" s="9" t="s">
        <v>15</v>
      </c>
      <c r="B78" s="6">
        <v>2</v>
      </c>
      <c r="C78" s="24">
        <v>2</v>
      </c>
      <c r="D78" s="6"/>
      <c r="E78" s="53">
        <v>1</v>
      </c>
      <c r="F78" s="1"/>
    </row>
    <row r="79" spans="1:6" ht="20.149999999999999" customHeight="1" x14ac:dyDescent="0.35">
      <c r="A79" s="9" t="s">
        <v>130</v>
      </c>
      <c r="B79" s="24" t="s">
        <v>23</v>
      </c>
      <c r="C79" s="24" t="s">
        <v>23</v>
      </c>
      <c r="D79" s="6">
        <v>7</v>
      </c>
      <c r="E79" s="53">
        <v>0</v>
      </c>
      <c r="F79" s="1"/>
    </row>
    <row r="80" spans="1:6" ht="10" customHeight="1" x14ac:dyDescent="0.35">
      <c r="A80" s="13"/>
      <c r="B80" s="14"/>
      <c r="C80" s="14"/>
      <c r="D80" s="14"/>
      <c r="E80" s="15"/>
      <c r="F80" s="1"/>
    </row>
    <row r="81" spans="1:6" ht="25" customHeight="1" x14ac:dyDescent="0.35">
      <c r="A81" s="46" t="s">
        <v>39</v>
      </c>
      <c r="B81" s="11"/>
      <c r="C81" s="11"/>
      <c r="D81" s="11"/>
      <c r="E81" s="8"/>
      <c r="F81" s="1"/>
    </row>
    <row r="82" spans="1:6" ht="28.5" customHeight="1" x14ac:dyDescent="0.35">
      <c r="A82" s="6" t="s">
        <v>53</v>
      </c>
      <c r="B82" s="19" t="s">
        <v>19</v>
      </c>
      <c r="C82" s="20" t="s">
        <v>18</v>
      </c>
      <c r="D82" s="19" t="s">
        <v>131</v>
      </c>
      <c r="E82" s="50"/>
      <c r="F82" s="1"/>
    </row>
    <row r="83" spans="1:6" ht="20.149999999999999" customHeight="1" x14ac:dyDescent="0.35">
      <c r="A83" s="21" t="s">
        <v>16</v>
      </c>
      <c r="B83" s="22">
        <v>16</v>
      </c>
      <c r="C83" s="22">
        <v>18</v>
      </c>
      <c r="D83" s="22">
        <v>24</v>
      </c>
      <c r="E83" s="12"/>
      <c r="F83" s="1"/>
    </row>
    <row r="84" spans="1:6" ht="20.149999999999999" customHeight="1" x14ac:dyDescent="0.35">
      <c r="A84" s="21" t="s">
        <v>17</v>
      </c>
      <c r="B84" s="22" t="s">
        <v>132</v>
      </c>
      <c r="C84" s="22">
        <v>27</v>
      </c>
      <c r="D84" s="22" t="s">
        <v>132</v>
      </c>
      <c r="E84" s="12"/>
      <c r="F84" s="1"/>
    </row>
    <row r="85" spans="1:6" ht="20.149999999999999" customHeight="1" x14ac:dyDescent="0.35">
      <c r="A85" s="21" t="s">
        <v>4</v>
      </c>
      <c r="B85" s="22">
        <v>16</v>
      </c>
      <c r="C85" s="22" t="s">
        <v>132</v>
      </c>
      <c r="D85" s="22" t="s">
        <v>132</v>
      </c>
      <c r="E85" s="12"/>
      <c r="F85" s="1"/>
    </row>
  </sheetData>
  <mergeCells count="8">
    <mergeCell ref="A69:A70"/>
    <mergeCell ref="B69:C69"/>
    <mergeCell ref="A1:E1"/>
    <mergeCell ref="A15:E15"/>
    <mergeCell ref="A20:E20"/>
    <mergeCell ref="A31:E31"/>
    <mergeCell ref="A39:E39"/>
    <mergeCell ref="A62:E6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79B48-35A1-42AA-B003-8B905663D9B2}">
  <sheetPr>
    <tabColor theme="5" tint="0.39997558519241921"/>
  </sheetPr>
  <dimension ref="A1:P77"/>
  <sheetViews>
    <sheetView workbookViewId="0">
      <selection activeCell="K18" sqref="K18"/>
    </sheetView>
  </sheetViews>
  <sheetFormatPr defaultColWidth="9.1796875" defaultRowHeight="13" x14ac:dyDescent="0.3"/>
  <cols>
    <col min="1" max="1" width="14.81640625" style="67" customWidth="1"/>
    <col min="2" max="2" width="13.81640625" style="18" customWidth="1"/>
    <col min="3" max="5" width="9.1796875" style="18"/>
    <col min="6" max="6" width="18.54296875" style="18" customWidth="1"/>
    <col min="7" max="7" width="9.1796875" style="18"/>
    <col min="8" max="8" width="4.453125" style="18" customWidth="1"/>
    <col min="9" max="9" width="9.1796875" style="18"/>
    <col min="10" max="10" width="4.453125" style="18" customWidth="1"/>
    <col min="11" max="11" width="11.81640625" style="18" customWidth="1"/>
    <col min="12" max="16384" width="9.1796875" style="18"/>
  </cols>
  <sheetData>
    <row r="1" spans="1:15" ht="27" customHeight="1" x14ac:dyDescent="0.45">
      <c r="A1" s="332">
        <v>2017</v>
      </c>
      <c r="B1" s="333"/>
      <c r="C1" s="333"/>
      <c r="D1" s="333"/>
      <c r="E1" s="333"/>
      <c r="F1" s="333"/>
      <c r="G1" s="333"/>
      <c r="H1" s="333"/>
      <c r="I1" s="333"/>
      <c r="J1" s="333"/>
      <c r="K1" s="334"/>
    </row>
    <row r="2" spans="1:15" ht="21.75" customHeight="1" x14ac:dyDescent="0.45">
      <c r="A2" s="335" t="s">
        <v>133</v>
      </c>
      <c r="B2" s="335"/>
      <c r="C2" s="335"/>
      <c r="D2" s="335"/>
      <c r="E2" s="335"/>
      <c r="F2" s="335"/>
      <c r="G2" s="335"/>
      <c r="H2" s="335"/>
      <c r="I2" s="335"/>
      <c r="J2" s="335"/>
      <c r="K2" s="335"/>
      <c r="L2" s="66"/>
      <c r="M2" s="66"/>
      <c r="N2" s="66"/>
      <c r="O2" s="66"/>
    </row>
    <row r="4" spans="1:15" x14ac:dyDescent="0.3">
      <c r="A4" s="67" t="s">
        <v>134</v>
      </c>
      <c r="C4" s="18">
        <v>1189</v>
      </c>
    </row>
    <row r="6" spans="1:15" x14ac:dyDescent="0.3">
      <c r="A6" s="67" t="s">
        <v>135</v>
      </c>
      <c r="C6" s="18">
        <v>175</v>
      </c>
      <c r="E6" s="68">
        <v>0.13420000000000001</v>
      </c>
      <c r="F6" s="336" t="s">
        <v>136</v>
      </c>
      <c r="G6" s="336"/>
      <c r="L6" s="69"/>
    </row>
    <row r="7" spans="1:15" x14ac:dyDescent="0.3">
      <c r="A7" s="67" t="s">
        <v>137</v>
      </c>
      <c r="C7" s="18">
        <v>64</v>
      </c>
      <c r="E7" s="70">
        <v>0.37</v>
      </c>
      <c r="F7" s="336" t="s">
        <v>138</v>
      </c>
      <c r="G7" s="336"/>
    </row>
    <row r="8" spans="1:15" x14ac:dyDescent="0.3">
      <c r="E8" s="70"/>
      <c r="F8" s="32"/>
      <c r="G8" s="32"/>
    </row>
    <row r="9" spans="1:15" x14ac:dyDescent="0.3">
      <c r="A9" s="67" t="s">
        <v>139</v>
      </c>
    </row>
    <row r="10" spans="1:15" x14ac:dyDescent="0.3">
      <c r="B10" s="18" t="s">
        <v>140</v>
      </c>
      <c r="C10" s="18">
        <v>121</v>
      </c>
    </row>
    <row r="11" spans="1:15" ht="15.5" x14ac:dyDescent="0.35">
      <c r="B11" s="18" t="s">
        <v>141</v>
      </c>
      <c r="C11" s="18">
        <v>108</v>
      </c>
      <c r="F11" s="71" t="s">
        <v>142</v>
      </c>
      <c r="G11" s="67"/>
      <c r="H11" s="67"/>
      <c r="I11" s="67"/>
      <c r="J11" s="67"/>
      <c r="K11" s="67"/>
    </row>
    <row r="12" spans="1:15" x14ac:dyDescent="0.3">
      <c r="B12" s="18" t="s">
        <v>143</v>
      </c>
      <c r="C12" s="18">
        <v>101</v>
      </c>
      <c r="F12" s="72" t="s">
        <v>144</v>
      </c>
      <c r="G12" s="72" t="s">
        <v>145</v>
      </c>
      <c r="H12" s="72"/>
      <c r="I12" s="72" t="s">
        <v>146</v>
      </c>
      <c r="J12" s="72"/>
      <c r="K12" s="72" t="s">
        <v>147</v>
      </c>
    </row>
    <row r="13" spans="1:15" x14ac:dyDescent="0.3">
      <c r="B13" s="18" t="s">
        <v>148</v>
      </c>
      <c r="C13" s="18">
        <v>69</v>
      </c>
      <c r="F13" s="18" t="s">
        <v>149</v>
      </c>
      <c r="G13" s="18">
        <v>4</v>
      </c>
      <c r="I13" s="18">
        <v>2</v>
      </c>
      <c r="K13" s="23">
        <f t="shared" ref="K13:K18" si="0">+I13/G13</f>
        <v>0.5</v>
      </c>
    </row>
    <row r="14" spans="1:15" x14ac:dyDescent="0.3">
      <c r="A14" s="67" t="s">
        <v>150</v>
      </c>
      <c r="F14" s="18" t="s">
        <v>151</v>
      </c>
      <c r="G14" s="18">
        <v>27</v>
      </c>
      <c r="I14" s="18">
        <v>17</v>
      </c>
      <c r="K14" s="23">
        <f t="shared" si="0"/>
        <v>0.62962962962962965</v>
      </c>
    </row>
    <row r="15" spans="1:15" x14ac:dyDescent="0.3">
      <c r="B15" s="18" t="s">
        <v>152</v>
      </c>
      <c r="C15" s="18">
        <v>768</v>
      </c>
      <c r="F15" s="18" t="s">
        <v>153</v>
      </c>
      <c r="G15" s="18">
        <v>15</v>
      </c>
      <c r="I15" s="18">
        <v>14</v>
      </c>
      <c r="K15" s="23">
        <f t="shared" si="0"/>
        <v>0.93333333333333335</v>
      </c>
    </row>
    <row r="16" spans="1:15" x14ac:dyDescent="0.3">
      <c r="B16" s="18" t="s">
        <v>55</v>
      </c>
      <c r="C16" s="18">
        <v>63</v>
      </c>
      <c r="F16" s="18" t="s">
        <v>154</v>
      </c>
      <c r="G16" s="18">
        <v>1128</v>
      </c>
      <c r="I16" s="18">
        <v>461</v>
      </c>
      <c r="K16" s="23">
        <f t="shared" si="0"/>
        <v>0.40868794326241137</v>
      </c>
    </row>
    <row r="17" spans="1:16" x14ac:dyDescent="0.3">
      <c r="B17" s="18" t="s">
        <v>48</v>
      </c>
      <c r="C17" s="18">
        <v>46</v>
      </c>
      <c r="F17" s="18" t="s">
        <v>155</v>
      </c>
      <c r="G17" s="18">
        <v>7</v>
      </c>
      <c r="I17" s="18">
        <v>3</v>
      </c>
      <c r="K17" s="23">
        <f t="shared" si="0"/>
        <v>0.42857142857142855</v>
      </c>
    </row>
    <row r="18" spans="1:16" x14ac:dyDescent="0.3">
      <c r="B18" s="18" t="s">
        <v>156</v>
      </c>
      <c r="C18" s="18">
        <v>30</v>
      </c>
      <c r="F18" s="18" t="s">
        <v>157</v>
      </c>
      <c r="G18" s="18">
        <v>8</v>
      </c>
      <c r="I18" s="18">
        <v>1</v>
      </c>
      <c r="K18" s="23">
        <f t="shared" si="0"/>
        <v>0.125</v>
      </c>
    </row>
    <row r="19" spans="1:16" x14ac:dyDescent="0.3">
      <c r="B19" s="18" t="s">
        <v>58</v>
      </c>
      <c r="C19" s="18">
        <v>30</v>
      </c>
      <c r="F19" s="32"/>
      <c r="K19" s="23"/>
    </row>
    <row r="20" spans="1:16" x14ac:dyDescent="0.3">
      <c r="F20" s="73" t="s">
        <v>158</v>
      </c>
      <c r="G20" s="74">
        <f>SUM(G12:G18)</f>
        <v>1189</v>
      </c>
      <c r="H20" s="74"/>
      <c r="I20" s="74">
        <f>SUM(I12:I18)</f>
        <v>498</v>
      </c>
      <c r="J20" s="74"/>
      <c r="K20" s="75">
        <f>+I20/G20</f>
        <v>0.4188393608074012</v>
      </c>
    </row>
    <row r="21" spans="1:16" x14ac:dyDescent="0.3">
      <c r="A21" s="330" t="s">
        <v>159</v>
      </c>
      <c r="B21" s="330"/>
      <c r="F21" s="29"/>
      <c r="K21" s="23"/>
    </row>
    <row r="22" spans="1:16" ht="15.5" x14ac:dyDescent="0.35">
      <c r="B22" s="18" t="s">
        <v>160</v>
      </c>
      <c r="C22" s="18">
        <v>2</v>
      </c>
      <c r="F22" s="71" t="s">
        <v>161</v>
      </c>
      <c r="G22" s="67"/>
      <c r="H22" s="67"/>
      <c r="I22" s="67"/>
      <c r="J22" s="67"/>
      <c r="K22" s="67"/>
    </row>
    <row r="23" spans="1:16" x14ac:dyDescent="0.3">
      <c r="B23" s="18" t="s">
        <v>162</v>
      </c>
      <c r="C23" s="18">
        <v>2</v>
      </c>
      <c r="F23" s="72" t="s">
        <v>144</v>
      </c>
      <c r="G23" s="72" t="s">
        <v>145</v>
      </c>
      <c r="H23" s="72"/>
      <c r="I23" s="72" t="s">
        <v>146</v>
      </c>
      <c r="J23" s="72"/>
      <c r="K23" s="72" t="s">
        <v>147</v>
      </c>
    </row>
    <row r="24" spans="1:16" x14ac:dyDescent="0.3">
      <c r="B24" s="18" t="s">
        <v>163</v>
      </c>
      <c r="C24" s="18">
        <v>1</v>
      </c>
      <c r="F24" s="18" t="s">
        <v>164</v>
      </c>
      <c r="G24" s="18">
        <v>2</v>
      </c>
      <c r="I24" s="18">
        <v>0</v>
      </c>
      <c r="K24" s="76">
        <f>+I24/G24</f>
        <v>0</v>
      </c>
    </row>
    <row r="25" spans="1:16" x14ac:dyDescent="0.3">
      <c r="B25" s="18" t="s">
        <v>165</v>
      </c>
      <c r="C25" s="18">
        <v>1</v>
      </c>
      <c r="F25" s="18" t="s">
        <v>166</v>
      </c>
      <c r="G25" s="28">
        <v>9</v>
      </c>
      <c r="H25" s="37"/>
      <c r="I25" s="28">
        <v>0</v>
      </c>
      <c r="J25" s="37"/>
      <c r="K25" s="76">
        <f>+I25/G25</f>
        <v>0</v>
      </c>
    </row>
    <row r="27" spans="1:16" x14ac:dyDescent="0.3">
      <c r="F27" s="73" t="s">
        <v>158</v>
      </c>
      <c r="G27" s="77">
        <f>SUM(G25)</f>
        <v>9</v>
      </c>
      <c r="H27" s="77"/>
      <c r="I27" s="77">
        <f>SUM(I25)</f>
        <v>0</v>
      </c>
      <c r="J27" s="77"/>
      <c r="K27" s="78">
        <f>SUM(K25)</f>
        <v>0</v>
      </c>
    </row>
    <row r="28" spans="1:16" x14ac:dyDescent="0.3">
      <c r="A28" s="67" t="s">
        <v>167</v>
      </c>
    </row>
    <row r="29" spans="1:16" x14ac:dyDescent="0.3">
      <c r="B29" s="18" t="s">
        <v>123</v>
      </c>
      <c r="C29" s="18">
        <v>5</v>
      </c>
    </row>
    <row r="30" spans="1:16" x14ac:dyDescent="0.3">
      <c r="B30" s="18" t="s">
        <v>37</v>
      </c>
      <c r="C30" s="18">
        <v>88</v>
      </c>
    </row>
    <row r="31" spans="1:16" x14ac:dyDescent="0.3">
      <c r="B31" s="18" t="s">
        <v>38</v>
      </c>
      <c r="C31" s="18">
        <v>311</v>
      </c>
      <c r="K31" s="79"/>
      <c r="P31" s="23"/>
    </row>
    <row r="32" spans="1:16" x14ac:dyDescent="0.3">
      <c r="B32" s="18" t="s">
        <v>168</v>
      </c>
      <c r="C32" s="18">
        <v>91</v>
      </c>
      <c r="G32" s="80"/>
      <c r="K32" s="67"/>
      <c r="P32" s="23"/>
    </row>
    <row r="33" spans="1:16" x14ac:dyDescent="0.3">
      <c r="G33" s="80"/>
      <c r="K33" s="79"/>
      <c r="P33" s="23"/>
    </row>
    <row r="34" spans="1:16" x14ac:dyDescent="0.3">
      <c r="A34" s="330" t="s">
        <v>169</v>
      </c>
      <c r="B34" s="330"/>
      <c r="K34" s="79"/>
      <c r="P34" s="23"/>
    </row>
    <row r="35" spans="1:16" x14ac:dyDescent="0.3">
      <c r="B35" s="81" t="s">
        <v>170</v>
      </c>
      <c r="C35" s="18">
        <v>54</v>
      </c>
      <c r="G35" s="80"/>
      <c r="K35" s="79"/>
      <c r="P35" s="23"/>
    </row>
    <row r="36" spans="1:16" x14ac:dyDescent="0.3">
      <c r="B36" s="81" t="s">
        <v>171</v>
      </c>
      <c r="C36" s="18">
        <v>49</v>
      </c>
      <c r="G36" s="80"/>
      <c r="K36" s="79"/>
      <c r="P36" s="23"/>
    </row>
    <row r="37" spans="1:16" x14ac:dyDescent="0.3">
      <c r="B37" s="81" t="s">
        <v>172</v>
      </c>
      <c r="C37" s="18">
        <v>48</v>
      </c>
      <c r="G37" s="80"/>
    </row>
    <row r="38" spans="1:16" x14ac:dyDescent="0.3">
      <c r="B38" s="81" t="s">
        <v>173</v>
      </c>
      <c r="C38" s="18">
        <v>37</v>
      </c>
      <c r="G38" s="80"/>
    </row>
    <row r="39" spans="1:16" x14ac:dyDescent="0.3">
      <c r="B39" s="81"/>
      <c r="G39" s="80"/>
    </row>
    <row r="40" spans="1:16" x14ac:dyDescent="0.3">
      <c r="A40" s="330" t="s">
        <v>174</v>
      </c>
      <c r="B40" s="330"/>
      <c r="C40" s="330"/>
      <c r="D40" s="330"/>
      <c r="E40" s="28"/>
      <c r="G40" s="80"/>
      <c r="I40" s="80"/>
      <c r="K40" s="80"/>
    </row>
    <row r="41" spans="1:16" x14ac:dyDescent="0.3">
      <c r="A41" s="79"/>
      <c r="B41" s="79"/>
      <c r="C41" s="79"/>
      <c r="D41" s="79"/>
      <c r="E41" s="28"/>
      <c r="G41" s="80"/>
      <c r="I41" s="80"/>
      <c r="K41" s="80"/>
    </row>
    <row r="42" spans="1:16" x14ac:dyDescent="0.3">
      <c r="B42" s="60"/>
      <c r="G42" s="80"/>
      <c r="I42" s="80"/>
      <c r="K42" s="80"/>
    </row>
    <row r="43" spans="1:16" x14ac:dyDescent="0.3">
      <c r="A43" s="330" t="s">
        <v>175</v>
      </c>
      <c r="B43" s="330"/>
      <c r="C43" s="18">
        <v>39</v>
      </c>
      <c r="D43" s="37" t="s">
        <v>176</v>
      </c>
      <c r="G43" s="80"/>
      <c r="I43" s="80"/>
      <c r="K43" s="80"/>
    </row>
    <row r="44" spans="1:16" x14ac:dyDescent="0.3">
      <c r="A44" s="330" t="s">
        <v>177</v>
      </c>
      <c r="B44" s="330"/>
      <c r="C44" s="18">
        <v>11</v>
      </c>
      <c r="D44" s="37" t="s">
        <v>176</v>
      </c>
      <c r="G44" s="80"/>
      <c r="I44" s="80"/>
      <c r="K44" s="80"/>
    </row>
    <row r="45" spans="1:16" x14ac:dyDescent="0.3">
      <c r="A45" s="330" t="s">
        <v>178</v>
      </c>
      <c r="B45" s="330"/>
      <c r="C45" s="18">
        <v>16</v>
      </c>
      <c r="D45" s="37" t="s">
        <v>176</v>
      </c>
      <c r="G45" s="80"/>
      <c r="I45" s="80"/>
      <c r="K45" s="80"/>
    </row>
    <row r="46" spans="1:16" x14ac:dyDescent="0.3">
      <c r="A46" s="330" t="s">
        <v>179</v>
      </c>
      <c r="B46" s="330"/>
      <c r="C46" s="18">
        <v>73</v>
      </c>
      <c r="D46" s="37" t="s">
        <v>176</v>
      </c>
      <c r="G46" s="80"/>
      <c r="I46" s="80"/>
      <c r="K46" s="80"/>
    </row>
    <row r="47" spans="1:16" ht="15" customHeight="1" x14ac:dyDescent="0.3">
      <c r="A47" s="330" t="s">
        <v>180</v>
      </c>
      <c r="B47" s="330"/>
      <c r="C47" s="18">
        <v>71</v>
      </c>
      <c r="D47" s="37" t="s">
        <v>176</v>
      </c>
      <c r="G47" s="80"/>
      <c r="I47" s="80"/>
      <c r="K47" s="80"/>
    </row>
    <row r="48" spans="1:16" ht="15" customHeight="1" x14ac:dyDescent="0.3">
      <c r="A48" s="79"/>
      <c r="B48" s="79"/>
      <c r="D48" s="37"/>
      <c r="G48" s="80"/>
      <c r="I48" s="80"/>
      <c r="K48" s="80"/>
    </row>
    <row r="49" spans="1:11" ht="15" customHeight="1" x14ac:dyDescent="0.3">
      <c r="A49" s="79"/>
      <c r="B49" s="79"/>
      <c r="G49" s="80"/>
      <c r="I49" s="80"/>
      <c r="K49" s="80"/>
    </row>
    <row r="50" spans="1:11" x14ac:dyDescent="0.3">
      <c r="A50" s="330" t="s">
        <v>181</v>
      </c>
      <c r="B50" s="330"/>
      <c r="C50" s="18">
        <v>17.399999999999999</v>
      </c>
      <c r="D50" s="37" t="s">
        <v>182</v>
      </c>
      <c r="G50" s="80"/>
      <c r="I50" s="80"/>
      <c r="K50" s="80"/>
    </row>
    <row r="51" spans="1:11" x14ac:dyDescent="0.3">
      <c r="A51" s="79"/>
      <c r="B51" s="79"/>
      <c r="C51" s="37"/>
      <c r="D51" s="37"/>
      <c r="G51" s="80"/>
      <c r="I51" s="80"/>
      <c r="K51" s="80"/>
    </row>
    <row r="52" spans="1:11" x14ac:dyDescent="0.3">
      <c r="G52" s="80"/>
      <c r="I52" s="80"/>
      <c r="K52" s="80"/>
    </row>
    <row r="53" spans="1:11" x14ac:dyDescent="0.3">
      <c r="A53" s="331" t="s">
        <v>183</v>
      </c>
      <c r="B53" s="331"/>
      <c r="C53" s="82">
        <v>16.73</v>
      </c>
      <c r="G53" s="80"/>
      <c r="I53" s="80"/>
      <c r="K53" s="80"/>
    </row>
    <row r="54" spans="1:11" x14ac:dyDescent="0.3">
      <c r="G54" s="80"/>
      <c r="I54" s="80"/>
      <c r="K54" s="80"/>
    </row>
    <row r="55" spans="1:11" x14ac:dyDescent="0.3">
      <c r="A55" s="83" t="s">
        <v>184</v>
      </c>
      <c r="B55" s="82"/>
      <c r="C55" s="82">
        <v>13.7</v>
      </c>
      <c r="G55" s="80"/>
      <c r="K55" s="80"/>
    </row>
    <row r="56" spans="1:11" x14ac:dyDescent="0.3">
      <c r="G56" s="80"/>
      <c r="K56" s="80"/>
    </row>
    <row r="57" spans="1:11" x14ac:dyDescent="0.3">
      <c r="G57" s="80"/>
      <c r="K57" s="80"/>
    </row>
    <row r="58" spans="1:11" x14ac:dyDescent="0.3">
      <c r="G58" s="80"/>
      <c r="K58" s="80"/>
    </row>
    <row r="59" spans="1:11" x14ac:dyDescent="0.3">
      <c r="G59" s="80"/>
      <c r="K59" s="80"/>
    </row>
    <row r="60" spans="1:11" x14ac:dyDescent="0.3">
      <c r="G60" s="80"/>
      <c r="K60" s="80"/>
    </row>
    <row r="61" spans="1:11" x14ac:dyDescent="0.3">
      <c r="G61" s="80"/>
      <c r="K61" s="80"/>
    </row>
    <row r="62" spans="1:11" x14ac:dyDescent="0.3">
      <c r="G62" s="80"/>
      <c r="K62" s="80"/>
    </row>
    <row r="63" spans="1:11" x14ac:dyDescent="0.3">
      <c r="G63" s="80"/>
      <c r="K63" s="80"/>
    </row>
    <row r="64" spans="1:11" x14ac:dyDescent="0.3">
      <c r="G64" s="80"/>
      <c r="K64" s="80"/>
    </row>
    <row r="65" spans="7:11" x14ac:dyDescent="0.3">
      <c r="G65" s="80"/>
      <c r="K65" s="80"/>
    </row>
    <row r="66" spans="7:11" x14ac:dyDescent="0.3">
      <c r="G66" s="80"/>
      <c r="K66" s="80"/>
    </row>
    <row r="67" spans="7:11" x14ac:dyDescent="0.3">
      <c r="G67" s="80"/>
      <c r="K67" s="80"/>
    </row>
    <row r="68" spans="7:11" x14ac:dyDescent="0.3">
      <c r="G68" s="80"/>
      <c r="K68" s="80"/>
    </row>
    <row r="69" spans="7:11" x14ac:dyDescent="0.3">
      <c r="K69" s="80"/>
    </row>
    <row r="70" spans="7:11" x14ac:dyDescent="0.3">
      <c r="K70" s="80"/>
    </row>
    <row r="71" spans="7:11" x14ac:dyDescent="0.3">
      <c r="K71" s="80"/>
    </row>
    <row r="72" spans="7:11" x14ac:dyDescent="0.3">
      <c r="K72" s="80"/>
    </row>
    <row r="73" spans="7:11" x14ac:dyDescent="0.3">
      <c r="K73" s="80"/>
    </row>
    <row r="74" spans="7:11" x14ac:dyDescent="0.3">
      <c r="K74" s="80"/>
    </row>
    <row r="75" spans="7:11" x14ac:dyDescent="0.3">
      <c r="K75" s="80"/>
    </row>
    <row r="76" spans="7:11" x14ac:dyDescent="0.3">
      <c r="K76" s="80"/>
    </row>
    <row r="77" spans="7:11" x14ac:dyDescent="0.3">
      <c r="K77" s="80"/>
    </row>
  </sheetData>
  <mergeCells count="14">
    <mergeCell ref="A34:B34"/>
    <mergeCell ref="A1:K1"/>
    <mergeCell ref="A2:K2"/>
    <mergeCell ref="F6:G6"/>
    <mergeCell ref="F7:G7"/>
    <mergeCell ref="A21:B21"/>
    <mergeCell ref="A50:B50"/>
    <mergeCell ref="A53:B53"/>
    <mergeCell ref="A40:D40"/>
    <mergeCell ref="A43:B43"/>
    <mergeCell ref="A44:B44"/>
    <mergeCell ref="A45:B45"/>
    <mergeCell ref="A46:B46"/>
    <mergeCell ref="A47:B47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6dd02d64-b7f3-43f7-a145-cfd68d338edf}" enabled="1" method="Standard" siteId="{0693b5ba-4b18-4d7b-9341-f32f400a549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6</vt:i4>
      </vt:variant>
    </vt:vector>
  </HeadingPairs>
  <TitlesOfParts>
    <vt:vector size="14" baseType="lpstr">
      <vt:lpstr>2025</vt:lpstr>
      <vt:lpstr>2024</vt:lpstr>
      <vt:lpstr>2023</vt:lpstr>
      <vt:lpstr>2022</vt:lpstr>
      <vt:lpstr>2021</vt:lpstr>
      <vt:lpstr>2019</vt:lpstr>
      <vt:lpstr>2018</vt:lpstr>
      <vt:lpstr>2017</vt:lpstr>
      <vt:lpstr>'2019'!Print_Area</vt:lpstr>
      <vt:lpstr>'2021'!Print_Area</vt:lpstr>
      <vt:lpstr>'2022'!Print_Area</vt:lpstr>
      <vt:lpstr>'2023'!Print_Area</vt:lpstr>
      <vt:lpstr>'2024'!Print_Area</vt:lpstr>
      <vt:lpstr>'2025'!Print_Area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dreiswig</dc:creator>
  <cp:lastModifiedBy>Hooper, Samuel M</cp:lastModifiedBy>
  <cp:lastPrinted>2025-12-17T20:11:13Z</cp:lastPrinted>
  <dcterms:created xsi:type="dcterms:W3CDTF">2018-07-10T18:32:11Z</dcterms:created>
  <dcterms:modified xsi:type="dcterms:W3CDTF">2026-09-16T00:37:22Z</dcterms:modified>
</cp:coreProperties>
</file>